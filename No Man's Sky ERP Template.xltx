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namedSheetViews/namedSheetView1.xml" ContentType="application/vnd.ms-excel.namedsheetview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namedSheetViews/namedSheetView2.xml" ContentType="application/vnd.ms-excel.namedsheetview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1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16"/>
  <workbookPr defaultThemeVersion="202300"/>
  <mc:AlternateContent xmlns:mc="http://schemas.openxmlformats.org/markup-compatibility/2006">
    <mc:Choice Requires="x15">
      <x15ac:absPath xmlns:x15ac="http://schemas.microsoft.com/office/spreadsheetml/2010/11/ac" url="D:\OneDrive\Documents\Games\No Man's Sky\"/>
    </mc:Choice>
  </mc:AlternateContent>
  <xr:revisionPtr revIDLastSave="0" documentId="8_{60CE081A-887B-4509-83EA-E12275E9B419}" xr6:coauthVersionLast="47" xr6:coauthVersionMax="47" xr10:uidLastSave="{00000000-0000-0000-0000-000000000000}"/>
  <bookViews>
    <workbookView xWindow="14295" yWindow="0" windowWidth="29010" windowHeight="15585" firstSheet="11" activeTab="12" xr2:uid="{C5008EE3-82AA-4CAF-B4EC-2E618C0CA8CB}"/>
  </bookViews>
  <sheets>
    <sheet name="Visited Systems" sheetId="2" r:id="rId1"/>
    <sheet name="Planets" sheetId="3" r:id="rId2"/>
    <sheet name="Starships" sheetId="4" r:id="rId3"/>
    <sheet name="Fleet" sheetId="5" r:id="rId4"/>
    <sheet name="Multi-Tools" sheetId="6" r:id="rId5"/>
    <sheet name="Exocraft" sheetId="7" r:id="rId6"/>
    <sheet name="Inventory" sheetId="9" r:id="rId7"/>
    <sheet name="Refiner &amp; Build Recipes" sheetId="10" r:id="rId8"/>
    <sheet name="Agricultural Production" sheetId="11" r:id="rId9"/>
    <sheet name="Crop Production" sheetId="12" r:id="rId10"/>
    <sheet name="Freighter Components" sheetId="13" r:id="rId11"/>
    <sheet name="Freighter Build Calculations" sheetId="14" r:id="rId12"/>
    <sheet name="Freighter Floor 1" sheetId="16" r:id="rId13"/>
    <sheet name="Freighter Floor 2" sheetId="17" r:id="rId14"/>
    <sheet name="Freighter Floor 3" sheetId="18" r:id="rId15"/>
    <sheet name="Freighter Floor 4" sheetId="19" r:id="rId16"/>
    <sheet name="Freighter Vertical - Starboard" sheetId="20" r:id="rId17"/>
    <sheet name="Freighter Layout Template" sheetId="21" r:id="rId18"/>
    <sheet name="Upgrade Modules" sheetId="22" r:id="rId19"/>
    <sheet name="Galaxy Map Plotter" sheetId="23" r:id="rId20"/>
  </sheets>
  <definedNames>
    <definedName name="InventoryTable" localSheetId="8">#REF!</definedName>
    <definedName name="InventoryTable" localSheetId="9">#REF!</definedName>
    <definedName name="InventoryTable" localSheetId="11">#REF!</definedName>
    <definedName name="InventoryTable" localSheetId="10">#REF!</definedName>
    <definedName name="InventoryTable" localSheetId="12">#REF!</definedName>
    <definedName name="InventoryTable" localSheetId="13">#REF!</definedName>
    <definedName name="InventoryTable" localSheetId="14">#REF!</definedName>
    <definedName name="InventoryTable" localSheetId="15">#REF!</definedName>
    <definedName name="InventoryTable" localSheetId="17">#REF!</definedName>
    <definedName name="InventoryTable" localSheetId="16">#REF!</definedName>
    <definedName name="InventoryTable" localSheetId="19">#REF!</definedName>
    <definedName name="InventoryTable" localSheetId="7">#REF!</definedName>
    <definedName name="InventoryTable" localSheetId="18">#REF!</definedName>
    <definedName name="InventoryTable">Table9[]</definedName>
    <definedName name="Z_77841002_5AB1_471C_BA85_D7B51BD63E93_.wvu.Cols" localSheetId="2" hidden="1">Starships!$C:$C</definedName>
    <definedName name="Z_77841002_5AB1_471C_BA85_D7B51BD63E93_.wvu.Rows" localSheetId="1" hidden="1">Planets!$2:$15,Planets!$17:$27,Planets!$29:$29</definedName>
    <definedName name="Z_77841002_5AB1_471C_BA85_D7B51BD63E93_.wvu.Rows" localSheetId="2" hidden="1">Starships!$9:$9,Starships!$11:$11</definedName>
    <definedName name="Z_A4CC850F_85DB_4F93_901F_6C5B295C5407_.wvu.Cols" localSheetId="2" hidden="1">Starships!$C:$C</definedName>
    <definedName name="Z_A4CC850F_85DB_4F93_901F_6C5B295C5407_.wvu.Rows" localSheetId="1" hidden="1">Planets!$2:$15,Planets!$17:$27,Planets!$29:$29</definedName>
    <definedName name="Z_A4CC850F_85DB_4F93_901F_6C5B295C5407_.wvu.Rows" localSheetId="7" hidden="1">'Refiner &amp; Build Recipes'!$2:$3,'Refiner &amp; Build Recipes'!$8:$8,'Refiner &amp; Build Recipes'!$16:$37,'Refiner &amp; Build Recipes'!$45:$80,'Refiner &amp; Build Recipes'!$88:$122,'Refiner &amp; Build Recipes'!$127:$129,'Refiner &amp; Build Recipes'!$135:$146,'Refiner &amp; Build Recipes'!$150:$176</definedName>
    <definedName name="Z_A4CC850F_85DB_4F93_901F_6C5B295C5407_.wvu.Rows" localSheetId="2" hidden="1">Starships!$9:$9,Starships!$11:$11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9" i="10" l="1"/>
  <c r="AA2" i="10"/>
  <c r="AA3" i="10"/>
  <c r="AA4" i="10"/>
  <c r="AA5" i="10"/>
  <c r="AA6" i="10"/>
  <c r="AA7" i="10"/>
  <c r="AA8" i="10"/>
  <c r="AA9" i="10"/>
  <c r="AA10" i="10"/>
  <c r="AA11" i="10"/>
  <c r="AA12" i="10"/>
  <c r="AA13" i="10"/>
  <c r="AA14" i="10"/>
  <c r="AA15" i="10"/>
  <c r="AA16" i="10"/>
  <c r="AA17" i="10"/>
  <c r="AA18" i="10"/>
  <c r="AA19" i="10"/>
  <c r="AA20" i="10"/>
  <c r="AA21" i="10"/>
  <c r="AA22" i="10"/>
  <c r="AA23" i="10"/>
  <c r="AA24" i="10"/>
  <c r="AA25" i="10"/>
  <c r="AA26" i="10"/>
  <c r="AA27" i="10"/>
  <c r="AA28" i="10"/>
  <c r="AA29" i="10"/>
  <c r="AA30" i="10"/>
  <c r="AA31" i="10"/>
  <c r="AA32" i="10"/>
  <c r="AA33" i="10"/>
  <c r="AA34" i="10"/>
  <c r="AA35" i="10"/>
  <c r="AA36" i="10"/>
  <c r="AA37" i="10"/>
  <c r="AA38" i="10"/>
  <c r="AA39" i="10"/>
  <c r="AA40" i="10"/>
  <c r="AA41" i="10"/>
  <c r="AA42" i="10"/>
  <c r="AA43" i="10"/>
  <c r="AA44" i="10"/>
  <c r="AA45" i="10"/>
  <c r="AA46" i="10"/>
  <c r="AA47" i="10"/>
  <c r="AA48" i="10"/>
  <c r="AA49" i="10"/>
  <c r="AA50" i="10"/>
  <c r="AA51" i="10"/>
  <c r="AA52" i="10"/>
  <c r="AA53" i="10"/>
  <c r="AA54" i="10"/>
  <c r="AA55" i="10"/>
  <c r="AA56" i="10"/>
  <c r="AA57" i="10"/>
  <c r="AA58" i="10"/>
  <c r="AA59" i="10"/>
  <c r="AA60" i="10"/>
  <c r="AA61" i="10"/>
  <c r="AA63" i="10"/>
  <c r="AA64" i="10"/>
  <c r="AA65" i="10"/>
  <c r="AA66" i="10"/>
  <c r="AA62" i="10"/>
  <c r="AA67" i="10"/>
  <c r="AA68" i="10"/>
  <c r="AA69" i="10"/>
  <c r="AA70" i="10"/>
  <c r="AA71" i="10"/>
  <c r="AA72" i="10"/>
  <c r="AA73" i="10"/>
  <c r="AA74" i="10"/>
  <c r="AA75" i="10"/>
  <c r="AA76" i="10"/>
  <c r="AA77" i="10"/>
  <c r="AA78" i="10"/>
  <c r="AA79" i="10"/>
  <c r="AA80" i="10"/>
  <c r="AA81" i="10"/>
  <c r="AA82" i="10"/>
  <c r="AA83" i="10"/>
  <c r="AA84" i="10"/>
  <c r="AA85" i="10"/>
  <c r="AA86" i="10"/>
  <c r="AA87" i="10"/>
  <c r="AA88" i="10"/>
  <c r="AA89" i="10"/>
  <c r="AA90" i="10"/>
  <c r="AA91" i="10"/>
  <c r="AA92" i="10"/>
  <c r="AA93" i="10"/>
  <c r="AA94" i="10"/>
  <c r="AA95" i="10"/>
  <c r="AA96" i="10"/>
  <c r="AA97" i="10"/>
  <c r="AA98" i="10"/>
  <c r="AA99" i="10"/>
  <c r="AA100" i="10"/>
  <c r="AA101" i="10"/>
  <c r="AA102" i="10"/>
  <c r="AA103" i="10"/>
  <c r="AA104" i="10"/>
  <c r="AA105" i="10"/>
  <c r="AA106" i="10"/>
  <c r="AA107" i="10"/>
  <c r="AA108" i="10"/>
  <c r="AA109" i="10"/>
  <c r="AA110" i="10"/>
  <c r="AA111" i="10"/>
  <c r="AA112" i="10"/>
  <c r="AA113" i="10"/>
  <c r="AA114" i="10"/>
  <c r="AA115" i="10"/>
  <c r="AA116" i="10"/>
  <c r="AA117" i="10"/>
  <c r="AA118" i="10"/>
  <c r="AA119" i="10"/>
  <c r="AA120" i="10"/>
  <c r="AA121" i="10"/>
  <c r="AA122" i="10"/>
  <c r="AA123" i="10"/>
  <c r="AA124" i="10"/>
  <c r="AA125" i="10"/>
  <c r="AA126" i="10"/>
  <c r="AA127" i="10"/>
  <c r="AA128" i="10"/>
  <c r="AA129" i="10"/>
  <c r="AA130" i="10"/>
  <c r="AA131" i="10"/>
  <c r="AA132" i="10"/>
  <c r="AA133" i="10"/>
  <c r="AA134" i="10"/>
  <c r="AA135" i="10"/>
  <c r="AA136" i="10"/>
  <c r="AA137" i="10"/>
  <c r="AA138" i="10"/>
  <c r="AA139" i="10"/>
  <c r="AA140" i="10"/>
  <c r="AA141" i="10"/>
  <c r="AA142" i="10"/>
  <c r="AA143" i="10"/>
  <c r="AA144" i="10"/>
  <c r="AA145" i="10"/>
  <c r="AA146" i="10"/>
  <c r="AA147" i="10"/>
  <c r="AA148" i="10"/>
  <c r="AA149" i="10"/>
  <c r="AA150" i="10"/>
  <c r="AA151" i="10"/>
  <c r="AA152" i="10"/>
  <c r="AA153" i="10"/>
  <c r="AA154" i="10"/>
  <c r="AA155" i="10"/>
  <c r="AA156" i="10"/>
  <c r="AA157" i="10"/>
  <c r="AA158" i="10"/>
  <c r="AA159" i="10"/>
  <c r="AA160" i="10"/>
  <c r="AA161" i="10"/>
  <c r="AA162" i="10"/>
  <c r="AA163" i="10"/>
  <c r="AA164" i="10"/>
  <c r="AA165" i="10"/>
  <c r="AA166" i="10"/>
  <c r="AA167" i="10"/>
  <c r="AA168" i="10"/>
  <c r="AA169" i="10"/>
  <c r="AA170" i="10"/>
  <c r="AA171" i="10"/>
  <c r="AA172" i="10"/>
  <c r="AA173" i="10"/>
  <c r="AA174" i="10"/>
  <c r="AA175" i="10"/>
  <c r="AA176" i="10"/>
  <c r="AA177" i="10"/>
  <c r="AA178" i="10"/>
  <c r="AA179" i="10"/>
  <c r="AA180" i="10"/>
  <c r="AA181" i="10"/>
  <c r="AA182" i="10"/>
  <c r="AA183" i="10"/>
  <c r="AA184" i="10"/>
  <c r="AA185" i="10"/>
  <c r="AA186" i="10"/>
  <c r="AA187" i="10"/>
  <c r="AA188" i="10"/>
  <c r="AA189" i="10"/>
  <c r="AA190" i="10"/>
  <c r="AA191" i="10"/>
  <c r="AA192" i="10"/>
  <c r="AA193" i="10"/>
  <c r="AA194" i="10"/>
  <c r="AA195" i="10"/>
  <c r="AA196" i="10"/>
  <c r="AA197" i="10"/>
  <c r="AA198" i="10"/>
  <c r="AA199" i="10"/>
  <c r="AA200" i="10"/>
  <c r="AA201" i="10"/>
  <c r="AA202" i="10"/>
  <c r="AA203" i="10"/>
  <c r="AA204" i="10"/>
  <c r="AA205" i="10"/>
  <c r="AA206" i="10"/>
  <c r="U2" i="10"/>
  <c r="U3" i="10"/>
  <c r="U4" i="10"/>
  <c r="U5" i="10"/>
  <c r="U6" i="10"/>
  <c r="U7" i="10"/>
  <c r="U8" i="10"/>
  <c r="U9" i="10"/>
  <c r="U10" i="10"/>
  <c r="U11" i="10"/>
  <c r="U12" i="10"/>
  <c r="U13" i="10"/>
  <c r="U14" i="10"/>
  <c r="U15" i="10"/>
  <c r="U16" i="10"/>
  <c r="U17" i="10"/>
  <c r="U18" i="10"/>
  <c r="U19" i="10"/>
  <c r="U20" i="10"/>
  <c r="U21" i="10"/>
  <c r="U22" i="10"/>
  <c r="U23" i="10"/>
  <c r="U24" i="10"/>
  <c r="U25" i="10"/>
  <c r="U26" i="10"/>
  <c r="U27" i="10"/>
  <c r="U28" i="10"/>
  <c r="U29" i="10"/>
  <c r="U30" i="10"/>
  <c r="U31" i="10"/>
  <c r="U32" i="10"/>
  <c r="U33" i="10"/>
  <c r="U34" i="10"/>
  <c r="U35" i="10"/>
  <c r="U36" i="10"/>
  <c r="U37" i="10"/>
  <c r="U38" i="10"/>
  <c r="U39" i="10"/>
  <c r="U40" i="10"/>
  <c r="U41" i="10"/>
  <c r="U42" i="10"/>
  <c r="U43" i="10"/>
  <c r="U44" i="10"/>
  <c r="U45" i="10"/>
  <c r="U46" i="10"/>
  <c r="U47" i="10"/>
  <c r="U48" i="10"/>
  <c r="U49" i="10"/>
  <c r="U50" i="10"/>
  <c r="U51" i="10"/>
  <c r="U52" i="10"/>
  <c r="U53" i="10"/>
  <c r="U54" i="10"/>
  <c r="U55" i="10"/>
  <c r="U56" i="10"/>
  <c r="U57" i="10"/>
  <c r="U58" i="10"/>
  <c r="U59" i="10"/>
  <c r="U60" i="10"/>
  <c r="U61" i="10"/>
  <c r="U63" i="10"/>
  <c r="U64" i="10"/>
  <c r="U65" i="10"/>
  <c r="U66" i="10"/>
  <c r="U62" i="10"/>
  <c r="U67" i="10"/>
  <c r="U68" i="10"/>
  <c r="U69" i="10"/>
  <c r="U70" i="10"/>
  <c r="U71" i="10"/>
  <c r="U72" i="10"/>
  <c r="U73" i="10"/>
  <c r="U74" i="10"/>
  <c r="U75" i="10"/>
  <c r="U76" i="10"/>
  <c r="U77" i="10"/>
  <c r="U78" i="10"/>
  <c r="U79" i="10"/>
  <c r="U80" i="10"/>
  <c r="U81" i="10"/>
  <c r="U82" i="10"/>
  <c r="U83" i="10"/>
  <c r="U84" i="10"/>
  <c r="U85" i="10"/>
  <c r="U86" i="10"/>
  <c r="U87" i="10"/>
  <c r="U88" i="10"/>
  <c r="U89" i="10"/>
  <c r="U90" i="10"/>
  <c r="U91" i="10"/>
  <c r="U92" i="10"/>
  <c r="U93" i="10"/>
  <c r="U94" i="10"/>
  <c r="U95" i="10"/>
  <c r="U96" i="10"/>
  <c r="U97" i="10"/>
  <c r="U98" i="10"/>
  <c r="U99" i="10"/>
  <c r="U100" i="10"/>
  <c r="U101" i="10"/>
  <c r="U102" i="10"/>
  <c r="U103" i="10"/>
  <c r="U104" i="10"/>
  <c r="U105" i="10"/>
  <c r="U106" i="10"/>
  <c r="U107" i="10"/>
  <c r="U108" i="10"/>
  <c r="U109" i="10"/>
  <c r="U110" i="10"/>
  <c r="U111" i="10"/>
  <c r="U112" i="10"/>
  <c r="U113" i="10"/>
  <c r="U114" i="10"/>
  <c r="U115" i="10"/>
  <c r="U116" i="10"/>
  <c r="U117" i="10"/>
  <c r="U118" i="10"/>
  <c r="U119" i="10"/>
  <c r="U120" i="10"/>
  <c r="U121" i="10"/>
  <c r="U122" i="10"/>
  <c r="U123" i="10"/>
  <c r="U124" i="10"/>
  <c r="U125" i="10"/>
  <c r="U126" i="10"/>
  <c r="U127" i="10"/>
  <c r="U128" i="10"/>
  <c r="U129" i="10"/>
  <c r="U130" i="10"/>
  <c r="U131" i="10"/>
  <c r="U132" i="10"/>
  <c r="U133" i="10"/>
  <c r="U134" i="10"/>
  <c r="U135" i="10"/>
  <c r="U136" i="10"/>
  <c r="U137" i="10"/>
  <c r="U138" i="10"/>
  <c r="U139" i="10"/>
  <c r="U140" i="10"/>
  <c r="U141" i="10"/>
  <c r="U142" i="10"/>
  <c r="U143" i="10"/>
  <c r="U144" i="10"/>
  <c r="U145" i="10"/>
  <c r="U146" i="10"/>
  <c r="U147" i="10"/>
  <c r="U148" i="10"/>
  <c r="U149" i="10"/>
  <c r="U150" i="10"/>
  <c r="U151" i="10"/>
  <c r="U152" i="10"/>
  <c r="U153" i="10"/>
  <c r="U154" i="10"/>
  <c r="U155" i="10"/>
  <c r="U156" i="10"/>
  <c r="U157" i="10"/>
  <c r="U158" i="10"/>
  <c r="U159" i="10"/>
  <c r="U160" i="10"/>
  <c r="U161" i="10"/>
  <c r="U162" i="10"/>
  <c r="U163" i="10"/>
  <c r="U164" i="10"/>
  <c r="U165" i="10"/>
  <c r="U166" i="10"/>
  <c r="U167" i="10"/>
  <c r="U168" i="10"/>
  <c r="U169" i="10"/>
  <c r="U170" i="10"/>
  <c r="U171" i="10"/>
  <c r="U172" i="10"/>
  <c r="U173" i="10"/>
  <c r="U174" i="10"/>
  <c r="U175" i="10"/>
  <c r="U176" i="10"/>
  <c r="U177" i="10"/>
  <c r="U178" i="10"/>
  <c r="U179" i="10"/>
  <c r="U180" i="10"/>
  <c r="U181" i="10"/>
  <c r="U182" i="10"/>
  <c r="U183" i="10"/>
  <c r="U184" i="10"/>
  <c r="U185" i="10"/>
  <c r="U186" i="10"/>
  <c r="U187" i="10"/>
  <c r="U188" i="10"/>
  <c r="U189" i="10"/>
  <c r="U190" i="10"/>
  <c r="U191" i="10"/>
  <c r="U192" i="10"/>
  <c r="U193" i="10"/>
  <c r="U194" i="10"/>
  <c r="U195" i="10"/>
  <c r="U196" i="10"/>
  <c r="U197" i="10"/>
  <c r="U198" i="10"/>
  <c r="U199" i="10"/>
  <c r="U200" i="10"/>
  <c r="U201" i="10"/>
  <c r="U202" i="10"/>
  <c r="U203" i="10"/>
  <c r="U204" i="10"/>
  <c r="U205" i="10"/>
  <c r="U206" i="10"/>
  <c r="N2" i="10"/>
  <c r="N3" i="10"/>
  <c r="N4" i="10"/>
  <c r="N5" i="10"/>
  <c r="N6" i="10"/>
  <c r="N7" i="10"/>
  <c r="N8" i="10"/>
  <c r="N10" i="10"/>
  <c r="N11" i="10"/>
  <c r="N12" i="10"/>
  <c r="N13" i="10"/>
  <c r="N14" i="10"/>
  <c r="N15" i="10"/>
  <c r="N16" i="10"/>
  <c r="N17" i="10"/>
  <c r="AG17" i="10" s="1"/>
  <c r="N18" i="10"/>
  <c r="N19" i="10"/>
  <c r="N20" i="10"/>
  <c r="AG20" i="10" s="1"/>
  <c r="N21" i="10"/>
  <c r="N22" i="10"/>
  <c r="AG22" i="10" s="1"/>
  <c r="N23" i="10"/>
  <c r="AG23" i="10" s="1"/>
  <c r="N24" i="10"/>
  <c r="AG24" i="10" s="1"/>
  <c r="N25" i="10"/>
  <c r="AG25" i="10" s="1"/>
  <c r="N26" i="10"/>
  <c r="AG26" i="10" s="1"/>
  <c r="N27" i="10"/>
  <c r="AG27" i="10" s="1"/>
  <c r="N28" i="10"/>
  <c r="N29" i="10"/>
  <c r="N30" i="10"/>
  <c r="N31" i="10"/>
  <c r="N32" i="10"/>
  <c r="N33" i="10"/>
  <c r="N34" i="10"/>
  <c r="N35" i="10"/>
  <c r="N36" i="10"/>
  <c r="N37" i="10"/>
  <c r="AG37" i="10" s="1"/>
  <c r="N38" i="10"/>
  <c r="N39" i="10"/>
  <c r="N40" i="10"/>
  <c r="N41" i="10"/>
  <c r="N42" i="10"/>
  <c r="N43" i="10"/>
  <c r="AG43" i="10" s="1"/>
  <c r="N44" i="10"/>
  <c r="N45" i="10"/>
  <c r="N46" i="10"/>
  <c r="N47" i="10"/>
  <c r="N48" i="10"/>
  <c r="N49" i="10"/>
  <c r="N50" i="10"/>
  <c r="AG50" i="10" s="1"/>
  <c r="N51" i="10"/>
  <c r="AG51" i="10" s="1"/>
  <c r="N52" i="10"/>
  <c r="AG52" i="10" s="1"/>
  <c r="N53" i="10"/>
  <c r="AG53" i="10" s="1"/>
  <c r="N54" i="10"/>
  <c r="N55" i="10"/>
  <c r="N56" i="10"/>
  <c r="N57" i="10"/>
  <c r="N58" i="10"/>
  <c r="N59" i="10"/>
  <c r="N60" i="10"/>
  <c r="N61" i="10"/>
  <c r="N63" i="10"/>
  <c r="N64" i="10"/>
  <c r="N65" i="10"/>
  <c r="N66" i="10"/>
  <c r="N62" i="10"/>
  <c r="N67" i="10"/>
  <c r="N68" i="10"/>
  <c r="AG68" i="10" s="1"/>
  <c r="N69" i="10"/>
  <c r="AG69" i="10" s="1"/>
  <c r="N70" i="10"/>
  <c r="N71" i="10"/>
  <c r="N72" i="10"/>
  <c r="N73" i="10"/>
  <c r="N74" i="10"/>
  <c r="N75" i="10"/>
  <c r="N76" i="10"/>
  <c r="N77" i="10"/>
  <c r="N78" i="10"/>
  <c r="N79" i="10"/>
  <c r="N80" i="10"/>
  <c r="N81" i="10"/>
  <c r="N82" i="10"/>
  <c r="N83" i="10"/>
  <c r="N84" i="10"/>
  <c r="N85" i="10"/>
  <c r="N86" i="10"/>
  <c r="N87" i="10"/>
  <c r="AG87" i="10" s="1"/>
  <c r="N88" i="10"/>
  <c r="N89" i="10"/>
  <c r="N90" i="10"/>
  <c r="N91" i="10"/>
  <c r="N92" i="10"/>
  <c r="N93" i="10"/>
  <c r="N94" i="10"/>
  <c r="N95" i="10"/>
  <c r="N96" i="10"/>
  <c r="N97" i="10"/>
  <c r="AG97" i="10" s="1"/>
  <c r="N98" i="10"/>
  <c r="AG98" i="10" s="1"/>
  <c r="N99" i="10"/>
  <c r="AG99" i="10" s="1"/>
  <c r="N100" i="10"/>
  <c r="N101" i="10"/>
  <c r="N102" i="10"/>
  <c r="N103" i="10"/>
  <c r="N104" i="10"/>
  <c r="N105" i="10"/>
  <c r="N106" i="10"/>
  <c r="N107" i="10"/>
  <c r="N108" i="10"/>
  <c r="N109" i="10"/>
  <c r="AG109" i="10" s="1"/>
  <c r="N110" i="10"/>
  <c r="N111" i="10"/>
  <c r="N112" i="10"/>
  <c r="N113" i="10"/>
  <c r="N114" i="10"/>
  <c r="N115" i="10"/>
  <c r="N116" i="10"/>
  <c r="AG116" i="10" s="1"/>
  <c r="N117" i="10"/>
  <c r="N118" i="10"/>
  <c r="AG118" i="10" s="1"/>
  <c r="N119" i="10"/>
  <c r="N120" i="10"/>
  <c r="N121" i="10"/>
  <c r="N122" i="10"/>
  <c r="N123" i="10"/>
  <c r="N124" i="10"/>
  <c r="N125" i="10"/>
  <c r="N126" i="10"/>
  <c r="N127" i="10"/>
  <c r="N128" i="10"/>
  <c r="N129" i="10"/>
  <c r="AG129" i="10" s="1"/>
  <c r="N130" i="10"/>
  <c r="N131" i="10"/>
  <c r="N132" i="10"/>
  <c r="N133" i="10"/>
  <c r="N134" i="10"/>
  <c r="N135" i="10"/>
  <c r="N136" i="10"/>
  <c r="N137" i="10"/>
  <c r="N138" i="10"/>
  <c r="N139" i="10"/>
  <c r="N140" i="10"/>
  <c r="N141" i="10"/>
  <c r="N142" i="10"/>
  <c r="N143" i="10"/>
  <c r="N144" i="10"/>
  <c r="N145" i="10"/>
  <c r="AG145" i="10" s="1"/>
  <c r="N146" i="10"/>
  <c r="N147" i="10"/>
  <c r="N148" i="10"/>
  <c r="N149" i="10"/>
  <c r="N150" i="10"/>
  <c r="N151" i="10"/>
  <c r="N152" i="10"/>
  <c r="N153" i="10"/>
  <c r="AG153" i="10" s="1"/>
  <c r="N154" i="10"/>
  <c r="AG154" i="10" s="1"/>
  <c r="N155" i="10"/>
  <c r="N156" i="10"/>
  <c r="N157" i="10"/>
  <c r="N158" i="10"/>
  <c r="N159" i="10"/>
  <c r="AG159" i="10" s="1"/>
  <c r="N160" i="10"/>
  <c r="N161" i="10"/>
  <c r="N162" i="10"/>
  <c r="N163" i="10"/>
  <c r="N164" i="10"/>
  <c r="AG164" i="10" s="1"/>
  <c r="N165" i="10"/>
  <c r="N166" i="10"/>
  <c r="N167" i="10"/>
  <c r="N168" i="10"/>
  <c r="AG168" i="10" s="1"/>
  <c r="N169" i="10"/>
  <c r="N170" i="10"/>
  <c r="N171" i="10"/>
  <c r="N172" i="10"/>
  <c r="N173" i="10"/>
  <c r="N174" i="10"/>
  <c r="N175" i="10"/>
  <c r="N176" i="10"/>
  <c r="N177" i="10"/>
  <c r="N178" i="10"/>
  <c r="AG178" i="10" s="1"/>
  <c r="N179" i="10"/>
  <c r="AG179" i="10" s="1"/>
  <c r="N180" i="10"/>
  <c r="N181" i="10"/>
  <c r="N182" i="10"/>
  <c r="N183" i="10"/>
  <c r="N184" i="10"/>
  <c r="N185" i="10"/>
  <c r="N186" i="10"/>
  <c r="N187" i="10"/>
  <c r="N188" i="10"/>
  <c r="N189" i="10"/>
  <c r="N190" i="10"/>
  <c r="N191" i="10"/>
  <c r="N192" i="10"/>
  <c r="N193" i="10"/>
  <c r="AG193" i="10" s="1"/>
  <c r="N194" i="10"/>
  <c r="N195" i="10"/>
  <c r="N196" i="10"/>
  <c r="N197" i="10"/>
  <c r="N198" i="10"/>
  <c r="AG198" i="10" s="1"/>
  <c r="N199" i="10"/>
  <c r="N200" i="10"/>
  <c r="N201" i="10"/>
  <c r="N202" i="10"/>
  <c r="N203" i="10"/>
  <c r="N204" i="10"/>
  <c r="N205" i="10"/>
  <c r="N206" i="10"/>
  <c r="D20" i="14"/>
  <c r="E20" i="14"/>
  <c r="F20" i="14"/>
  <c r="G20" i="14"/>
  <c r="H20" i="14"/>
  <c r="I20" i="14"/>
  <c r="J20" i="14"/>
  <c r="K20" i="14"/>
  <c r="L20" i="14"/>
  <c r="M20" i="14"/>
  <c r="N20" i="14"/>
  <c r="O20" i="14"/>
  <c r="P20" i="14"/>
  <c r="Q20" i="14"/>
  <c r="R20" i="14"/>
  <c r="S20" i="14"/>
  <c r="T20" i="14"/>
  <c r="U20" i="14"/>
  <c r="V20" i="14"/>
  <c r="W20" i="14"/>
  <c r="X20" i="14"/>
  <c r="Y20" i="14"/>
  <c r="Z20" i="14"/>
  <c r="AA20" i="14"/>
  <c r="AB20" i="14"/>
  <c r="AC20" i="14"/>
  <c r="AD20" i="14"/>
  <c r="AE20" i="14"/>
  <c r="AF20" i="14"/>
  <c r="AG20" i="14"/>
  <c r="C20" i="14"/>
  <c r="D18" i="23"/>
  <c r="C18" i="23"/>
  <c r="D17" i="23"/>
  <c r="C17" i="23"/>
  <c r="D16" i="23"/>
  <c r="C16" i="23"/>
  <c r="D15" i="23"/>
  <c r="C15" i="23"/>
  <c r="D14" i="23"/>
  <c r="C14" i="23"/>
  <c r="D13" i="23"/>
  <c r="C13" i="23"/>
  <c r="D12" i="23"/>
  <c r="C12" i="23"/>
  <c r="D11" i="23"/>
  <c r="C11" i="23"/>
  <c r="D10" i="23"/>
  <c r="C10" i="23"/>
  <c r="D9" i="23"/>
  <c r="C9" i="23"/>
  <c r="D8" i="23"/>
  <c r="C8" i="23"/>
  <c r="D7" i="23"/>
  <c r="C7" i="23"/>
  <c r="D6" i="23"/>
  <c r="C6" i="23"/>
  <c r="D5" i="23"/>
  <c r="C5" i="23"/>
  <c r="D4" i="23"/>
  <c r="C4" i="23"/>
  <c r="D3" i="23"/>
  <c r="C3" i="23"/>
  <c r="D2" i="23"/>
  <c r="C2" i="23"/>
  <c r="F1" i="23" a="1"/>
  <c r="F1" i="23" s="1"/>
  <c r="AG18" i="14"/>
  <c r="AF18" i="14"/>
  <c r="AE18" i="14"/>
  <c r="AD18" i="14"/>
  <c r="AC18" i="14"/>
  <c r="AB18" i="14"/>
  <c r="AA18" i="14"/>
  <c r="Z18" i="14"/>
  <c r="Y18" i="14"/>
  <c r="X18" i="14"/>
  <c r="W18" i="14"/>
  <c r="V18" i="14"/>
  <c r="U18" i="14"/>
  <c r="T18" i="14"/>
  <c r="S18" i="14"/>
  <c r="R18" i="14"/>
  <c r="Q18" i="14"/>
  <c r="P18" i="14"/>
  <c r="O18" i="14"/>
  <c r="N18" i="14"/>
  <c r="M18" i="14"/>
  <c r="L18" i="14"/>
  <c r="K18" i="14"/>
  <c r="J18" i="14"/>
  <c r="I18" i="14"/>
  <c r="H18" i="14"/>
  <c r="G18" i="14"/>
  <c r="F18" i="14"/>
  <c r="E18" i="14"/>
  <c r="D18" i="14"/>
  <c r="C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O13" i="12"/>
  <c r="P13" i="12" s="1"/>
  <c r="O12" i="12"/>
  <c r="P12" i="12" s="1"/>
  <c r="O11" i="12"/>
  <c r="P11" i="12" s="1"/>
  <c r="O10" i="12"/>
  <c r="P10" i="12" s="1"/>
  <c r="O9" i="12"/>
  <c r="P9" i="12" s="1"/>
  <c r="O8" i="12"/>
  <c r="P8" i="12" s="1"/>
  <c r="O7" i="12"/>
  <c r="P7" i="12" s="1"/>
  <c r="O6" i="12"/>
  <c r="P6" i="12" s="1"/>
  <c r="O5" i="12"/>
  <c r="P5" i="12" s="1"/>
  <c r="O4" i="12"/>
  <c r="P4" i="12" s="1"/>
  <c r="O3" i="12"/>
  <c r="P3" i="12" s="1"/>
  <c r="O2" i="12"/>
  <c r="P2" i="12" s="1"/>
  <c r="AH206" i="10"/>
  <c r="AG206" i="10"/>
  <c r="AF206" i="10"/>
  <c r="AE206" i="10"/>
  <c r="AD206" i="10"/>
  <c r="AC206" i="10"/>
  <c r="AB206" i="10"/>
  <c r="W206" i="10"/>
  <c r="V206" i="10"/>
  <c r="P206" i="10"/>
  <c r="O206" i="10"/>
  <c r="AI205" i="10"/>
  <c r="AG205" i="10"/>
  <c r="AF205" i="10"/>
  <c r="AE205" i="10"/>
  <c r="AD205" i="10"/>
  <c r="AC205" i="10"/>
  <c r="AB205" i="10"/>
  <c r="W205" i="10"/>
  <c r="V205" i="10"/>
  <c r="P205" i="10"/>
  <c r="O205" i="10"/>
  <c r="AI204" i="10"/>
  <c r="AG204" i="10"/>
  <c r="AF204" i="10"/>
  <c r="AE204" i="10"/>
  <c r="AD204" i="10"/>
  <c r="AC204" i="10"/>
  <c r="AB204" i="10"/>
  <c r="W204" i="10"/>
  <c r="V204" i="10"/>
  <c r="P204" i="10"/>
  <c r="O204" i="10"/>
  <c r="AI203" i="10"/>
  <c r="AG203" i="10"/>
  <c r="AF203" i="10"/>
  <c r="AE203" i="10"/>
  <c r="AD203" i="10"/>
  <c r="AC203" i="10"/>
  <c r="AB203" i="10"/>
  <c r="W203" i="10"/>
  <c r="V203" i="10"/>
  <c r="P203" i="10"/>
  <c r="O203" i="10"/>
  <c r="AI202" i="10"/>
  <c r="AG202" i="10"/>
  <c r="AF202" i="10"/>
  <c r="AE202" i="10"/>
  <c r="AD202" i="10"/>
  <c r="AC202" i="10"/>
  <c r="AB202" i="10"/>
  <c r="W202" i="10"/>
  <c r="V202" i="10"/>
  <c r="P202" i="10"/>
  <c r="O202" i="10"/>
  <c r="AI201" i="10"/>
  <c r="AG201" i="10"/>
  <c r="AF201" i="10"/>
  <c r="AE201" i="10"/>
  <c r="AD201" i="10"/>
  <c r="AC201" i="10"/>
  <c r="AB201" i="10"/>
  <c r="W201" i="10"/>
  <c r="V201" i="10"/>
  <c r="P201" i="10"/>
  <c r="O201" i="10"/>
  <c r="AI200" i="10"/>
  <c r="AG200" i="10"/>
  <c r="AF200" i="10"/>
  <c r="AE200" i="10"/>
  <c r="AD200" i="10"/>
  <c r="AC200" i="10"/>
  <c r="AB200" i="10"/>
  <c r="W200" i="10"/>
  <c r="V200" i="10"/>
  <c r="P200" i="10"/>
  <c r="O200" i="10"/>
  <c r="AI199" i="10"/>
  <c r="AG199" i="10"/>
  <c r="AF199" i="10"/>
  <c r="AE199" i="10"/>
  <c r="AD199" i="10"/>
  <c r="AC199" i="10"/>
  <c r="AB199" i="10"/>
  <c r="W199" i="10"/>
  <c r="V199" i="10"/>
  <c r="P199" i="10"/>
  <c r="O199" i="10"/>
  <c r="AI198" i="10"/>
  <c r="AH198" i="10"/>
  <c r="AF198" i="10"/>
  <c r="AE198" i="10"/>
  <c r="AD198" i="10"/>
  <c r="AC198" i="10"/>
  <c r="AB198" i="10"/>
  <c r="W198" i="10"/>
  <c r="V198" i="10"/>
  <c r="P198" i="10"/>
  <c r="O198" i="10"/>
  <c r="AI197" i="10"/>
  <c r="AG197" i="10"/>
  <c r="AF197" i="10"/>
  <c r="AE197" i="10"/>
  <c r="AD197" i="10"/>
  <c r="AC197" i="10"/>
  <c r="AB197" i="10"/>
  <c r="W197" i="10"/>
  <c r="V197" i="10"/>
  <c r="P197" i="10"/>
  <c r="O197" i="10"/>
  <c r="AH196" i="10"/>
  <c r="AG196" i="10"/>
  <c r="AF196" i="10"/>
  <c r="AE196" i="10"/>
  <c r="AD196" i="10"/>
  <c r="AC196" i="10"/>
  <c r="AB196" i="10"/>
  <c r="W196" i="10"/>
  <c r="V196" i="10"/>
  <c r="P196" i="10"/>
  <c r="O196" i="10"/>
  <c r="AI195" i="10"/>
  <c r="AG195" i="10"/>
  <c r="AF195" i="10"/>
  <c r="AE195" i="10"/>
  <c r="AD195" i="10"/>
  <c r="AC195" i="10"/>
  <c r="AB195" i="10"/>
  <c r="W195" i="10"/>
  <c r="V195" i="10"/>
  <c r="P195" i="10"/>
  <c r="O195" i="10"/>
  <c r="AI194" i="10"/>
  <c r="AG194" i="10"/>
  <c r="AF194" i="10"/>
  <c r="AE194" i="10"/>
  <c r="AD194" i="10"/>
  <c r="AC194" i="10"/>
  <c r="AB194" i="10"/>
  <c r="W194" i="10"/>
  <c r="V194" i="10"/>
  <c r="P194" i="10"/>
  <c r="O194" i="10"/>
  <c r="AI193" i="10"/>
  <c r="AH193" i="10"/>
  <c r="AF193" i="10"/>
  <c r="AE193" i="10"/>
  <c r="AD193" i="10"/>
  <c r="AC193" i="10"/>
  <c r="AB193" i="10"/>
  <c r="W193" i="10"/>
  <c r="V193" i="10"/>
  <c r="P193" i="10"/>
  <c r="O193" i="10"/>
  <c r="AI192" i="10"/>
  <c r="AG192" i="10"/>
  <c r="AF192" i="10"/>
  <c r="AE192" i="10"/>
  <c r="AD192" i="10"/>
  <c r="AC192" i="10"/>
  <c r="AB192" i="10"/>
  <c r="W192" i="10"/>
  <c r="V192" i="10"/>
  <c r="P192" i="10"/>
  <c r="O192" i="10"/>
  <c r="AI191" i="10"/>
  <c r="AG191" i="10"/>
  <c r="AF191" i="10"/>
  <c r="AE191" i="10"/>
  <c r="AD191" i="10"/>
  <c r="AC191" i="10"/>
  <c r="AB191" i="10"/>
  <c r="W191" i="10"/>
  <c r="V191" i="10"/>
  <c r="P191" i="10"/>
  <c r="O191" i="10"/>
  <c r="AI190" i="10"/>
  <c r="AG190" i="10"/>
  <c r="AF190" i="10"/>
  <c r="AE190" i="10"/>
  <c r="AD190" i="10"/>
  <c r="AC190" i="10"/>
  <c r="AB190" i="10"/>
  <c r="W190" i="10"/>
  <c r="V190" i="10"/>
  <c r="P190" i="10"/>
  <c r="O190" i="10"/>
  <c r="AH189" i="10"/>
  <c r="AG189" i="10"/>
  <c r="AF189" i="10"/>
  <c r="AE189" i="10"/>
  <c r="AD189" i="10"/>
  <c r="AC189" i="10"/>
  <c r="AB189" i="10"/>
  <c r="W189" i="10"/>
  <c r="V189" i="10"/>
  <c r="P189" i="10"/>
  <c r="O189" i="10"/>
  <c r="AH188" i="10"/>
  <c r="AG188" i="10"/>
  <c r="AF188" i="10"/>
  <c r="AE188" i="10"/>
  <c r="AD188" i="10"/>
  <c r="AC188" i="10"/>
  <c r="AB188" i="10"/>
  <c r="W188" i="10"/>
  <c r="V188" i="10"/>
  <c r="P188" i="10"/>
  <c r="O188" i="10"/>
  <c r="AI187" i="10"/>
  <c r="AG187" i="10"/>
  <c r="AF187" i="10"/>
  <c r="AE187" i="10"/>
  <c r="AD187" i="10"/>
  <c r="AC187" i="10"/>
  <c r="AB187" i="10"/>
  <c r="W187" i="10"/>
  <c r="V187" i="10"/>
  <c r="P187" i="10"/>
  <c r="O187" i="10"/>
  <c r="AI186" i="10"/>
  <c r="AG186" i="10"/>
  <c r="AF186" i="10"/>
  <c r="AE186" i="10"/>
  <c r="AD186" i="10"/>
  <c r="AC186" i="10"/>
  <c r="AB186" i="10"/>
  <c r="W186" i="10"/>
  <c r="V186" i="10"/>
  <c r="P186" i="10"/>
  <c r="O186" i="10"/>
  <c r="AI185" i="10"/>
  <c r="AG185" i="10"/>
  <c r="AF185" i="10"/>
  <c r="AE185" i="10"/>
  <c r="AD185" i="10"/>
  <c r="AC185" i="10"/>
  <c r="AB185" i="10"/>
  <c r="W185" i="10"/>
  <c r="V185" i="10"/>
  <c r="P185" i="10"/>
  <c r="O185" i="10"/>
  <c r="AI184" i="10"/>
  <c r="AG184" i="10"/>
  <c r="AF184" i="10"/>
  <c r="AE184" i="10"/>
  <c r="AD184" i="10"/>
  <c r="AC184" i="10"/>
  <c r="AB184" i="10"/>
  <c r="W184" i="10"/>
  <c r="V184" i="10"/>
  <c r="P184" i="10"/>
  <c r="O184" i="10"/>
  <c r="AI183" i="10"/>
  <c r="AG183" i="10"/>
  <c r="AF183" i="10"/>
  <c r="AE183" i="10"/>
  <c r="AD183" i="10"/>
  <c r="AC183" i="10"/>
  <c r="AB183" i="10"/>
  <c r="W183" i="10"/>
  <c r="V183" i="10"/>
  <c r="P183" i="10"/>
  <c r="O183" i="10"/>
  <c r="AI182" i="10"/>
  <c r="AG182" i="10"/>
  <c r="AF182" i="10"/>
  <c r="AE182" i="10"/>
  <c r="AD182" i="10"/>
  <c r="AC182" i="10"/>
  <c r="AB182" i="10"/>
  <c r="W182" i="10"/>
  <c r="V182" i="10"/>
  <c r="P182" i="10"/>
  <c r="O182" i="10"/>
  <c r="AI181" i="10"/>
  <c r="AG181" i="10"/>
  <c r="AF181" i="10"/>
  <c r="AE181" i="10"/>
  <c r="AD181" i="10"/>
  <c r="AC181" i="10"/>
  <c r="AB181" i="10"/>
  <c r="W181" i="10"/>
  <c r="V181" i="10"/>
  <c r="P181" i="10"/>
  <c r="O181" i="10"/>
  <c r="AI180" i="10"/>
  <c r="AG180" i="10"/>
  <c r="AF180" i="10"/>
  <c r="AE180" i="10"/>
  <c r="AD180" i="10"/>
  <c r="AC180" i="10"/>
  <c r="AB180" i="10"/>
  <c r="W180" i="10"/>
  <c r="V180" i="10"/>
  <c r="P180" i="10"/>
  <c r="O180" i="10"/>
  <c r="AI179" i="10"/>
  <c r="AH179" i="10"/>
  <c r="AF179" i="10"/>
  <c r="AE179" i="10"/>
  <c r="AD179" i="10"/>
  <c r="AC179" i="10"/>
  <c r="AB179" i="10"/>
  <c r="W179" i="10"/>
  <c r="V179" i="10"/>
  <c r="O179" i="10"/>
  <c r="AI178" i="10"/>
  <c r="AH178" i="10"/>
  <c r="AF178" i="10"/>
  <c r="AE178" i="10"/>
  <c r="AD178" i="10"/>
  <c r="AC178" i="10"/>
  <c r="AB178" i="10"/>
  <c r="W178" i="10"/>
  <c r="V178" i="10"/>
  <c r="O178" i="10"/>
  <c r="AI177" i="10"/>
  <c r="AH177" i="10"/>
  <c r="AF177" i="10"/>
  <c r="AE177" i="10"/>
  <c r="AD177" i="10"/>
  <c r="AC177" i="10"/>
  <c r="AB177" i="10"/>
  <c r="W177" i="10"/>
  <c r="V177" i="10"/>
  <c r="O177" i="10"/>
  <c r="AH176" i="10"/>
  <c r="AG176" i="10"/>
  <c r="AF176" i="10"/>
  <c r="AE176" i="10"/>
  <c r="AD176" i="10"/>
  <c r="AC176" i="10"/>
  <c r="AB176" i="10"/>
  <c r="W176" i="10"/>
  <c r="V176" i="10"/>
  <c r="P176" i="10"/>
  <c r="O176" i="10"/>
  <c r="AI175" i="10"/>
  <c r="AG175" i="10"/>
  <c r="AF175" i="10"/>
  <c r="AE175" i="10"/>
  <c r="AD175" i="10"/>
  <c r="AC175" i="10"/>
  <c r="AB175" i="10"/>
  <c r="W175" i="10"/>
  <c r="V175" i="10"/>
  <c r="P175" i="10"/>
  <c r="O175" i="10"/>
  <c r="AH174" i="10"/>
  <c r="AG174" i="10"/>
  <c r="AF174" i="10"/>
  <c r="AE174" i="10"/>
  <c r="AD174" i="10"/>
  <c r="AC174" i="10"/>
  <c r="AB174" i="10"/>
  <c r="W174" i="10"/>
  <c r="V174" i="10"/>
  <c r="P174" i="10"/>
  <c r="O174" i="10"/>
  <c r="AH173" i="10"/>
  <c r="AG173" i="10"/>
  <c r="AF173" i="10"/>
  <c r="AE173" i="10"/>
  <c r="AD173" i="10"/>
  <c r="AC173" i="10"/>
  <c r="AB173" i="10"/>
  <c r="W173" i="10"/>
  <c r="V173" i="10"/>
  <c r="P173" i="10"/>
  <c r="O173" i="10"/>
  <c r="AI172" i="10"/>
  <c r="AH172" i="10"/>
  <c r="AF172" i="10"/>
  <c r="AE172" i="10"/>
  <c r="AD172" i="10"/>
  <c r="AC172" i="10"/>
  <c r="AB172" i="10"/>
  <c r="W172" i="10"/>
  <c r="V172" i="10"/>
  <c r="O172" i="10"/>
  <c r="AI171" i="10"/>
  <c r="AG171" i="10"/>
  <c r="AF171" i="10"/>
  <c r="AE171" i="10"/>
  <c r="AD171" i="10"/>
  <c r="AC171" i="10"/>
  <c r="AB171" i="10"/>
  <c r="V171" i="10"/>
  <c r="O171" i="10"/>
  <c r="AI170" i="10"/>
  <c r="AG170" i="10"/>
  <c r="AF170" i="10"/>
  <c r="AE170" i="10"/>
  <c r="AD170" i="10"/>
  <c r="AC170" i="10"/>
  <c r="AB170" i="10"/>
  <c r="W170" i="10"/>
  <c r="V170" i="10"/>
  <c r="P170" i="10"/>
  <c r="O170" i="10"/>
  <c r="AH169" i="10"/>
  <c r="AG169" i="10"/>
  <c r="AF169" i="10"/>
  <c r="AE169" i="10"/>
  <c r="AD169" i="10"/>
  <c r="AC169" i="10"/>
  <c r="AB169" i="10"/>
  <c r="W169" i="10"/>
  <c r="V169" i="10"/>
  <c r="P169" i="10"/>
  <c r="O169" i="10"/>
  <c r="AI168" i="10"/>
  <c r="AH168" i="10"/>
  <c r="AF168" i="10"/>
  <c r="AE168" i="10"/>
  <c r="AD168" i="10"/>
  <c r="AC168" i="10"/>
  <c r="AB168" i="10"/>
  <c r="W168" i="10"/>
  <c r="V168" i="10"/>
  <c r="P168" i="10"/>
  <c r="O168" i="10"/>
  <c r="AI167" i="10"/>
  <c r="AG167" i="10"/>
  <c r="AF167" i="10"/>
  <c r="AE167" i="10"/>
  <c r="AD167" i="10"/>
  <c r="AC167" i="10"/>
  <c r="AB167" i="10"/>
  <c r="W167" i="10"/>
  <c r="V167" i="10"/>
  <c r="P167" i="10"/>
  <c r="O167" i="10"/>
  <c r="AI166" i="10"/>
  <c r="AG166" i="10"/>
  <c r="AF166" i="10"/>
  <c r="AE166" i="10"/>
  <c r="AD166" i="10"/>
  <c r="AC166" i="10"/>
  <c r="AB166" i="10"/>
  <c r="W166" i="10"/>
  <c r="V166" i="10"/>
  <c r="P166" i="10"/>
  <c r="O166" i="10"/>
  <c r="AI165" i="10"/>
  <c r="AG165" i="10"/>
  <c r="AF165" i="10"/>
  <c r="AE165" i="10"/>
  <c r="AD165" i="10"/>
  <c r="AC165" i="10"/>
  <c r="AB165" i="10"/>
  <c r="W165" i="10"/>
  <c r="V165" i="10"/>
  <c r="P165" i="10"/>
  <c r="O165" i="10"/>
  <c r="AI164" i="10"/>
  <c r="AH164" i="10"/>
  <c r="AF164" i="10"/>
  <c r="AE164" i="10"/>
  <c r="AD164" i="10"/>
  <c r="AC164" i="10"/>
  <c r="AB164" i="10"/>
  <c r="W164" i="10"/>
  <c r="V164" i="10"/>
  <c r="O164" i="10"/>
  <c r="AI163" i="10"/>
  <c r="AG163" i="10"/>
  <c r="AF163" i="10"/>
  <c r="AE163" i="10"/>
  <c r="AD163" i="10"/>
  <c r="AC163" i="10"/>
  <c r="AB163" i="10"/>
  <c r="V163" i="10"/>
  <c r="O163" i="10"/>
  <c r="AI162" i="10"/>
  <c r="AG162" i="10"/>
  <c r="AF162" i="10"/>
  <c r="AE162" i="10"/>
  <c r="AD162" i="10"/>
  <c r="AC162" i="10"/>
  <c r="AB162" i="10"/>
  <c r="V162" i="10"/>
  <c r="O162" i="10"/>
  <c r="AI161" i="10"/>
  <c r="AG161" i="10"/>
  <c r="AF161" i="10"/>
  <c r="AE161" i="10"/>
  <c r="AD161" i="10"/>
  <c r="AC161" i="10"/>
  <c r="AB161" i="10"/>
  <c r="V161" i="10"/>
  <c r="O161" i="10"/>
  <c r="AI160" i="10"/>
  <c r="AG160" i="10"/>
  <c r="AF160" i="10"/>
  <c r="AE160" i="10"/>
  <c r="AD160" i="10"/>
  <c r="AC160" i="10"/>
  <c r="AB160" i="10"/>
  <c r="V160" i="10"/>
  <c r="O160" i="10"/>
  <c r="AI159" i="10"/>
  <c r="AH159" i="10"/>
  <c r="AF159" i="10"/>
  <c r="AE159" i="10"/>
  <c r="AD159" i="10"/>
  <c r="AC159" i="10"/>
  <c r="AB159" i="10"/>
  <c r="W159" i="10"/>
  <c r="V159" i="10"/>
  <c r="P159" i="10"/>
  <c r="O159" i="10"/>
  <c r="AI158" i="10"/>
  <c r="AG158" i="10"/>
  <c r="AF158" i="10"/>
  <c r="AE158" i="10"/>
  <c r="AD158" i="10"/>
  <c r="AC158" i="10"/>
  <c r="AB158" i="10"/>
  <c r="W158" i="10"/>
  <c r="V158" i="10"/>
  <c r="P158" i="10"/>
  <c r="O158" i="10"/>
  <c r="AI157" i="10"/>
  <c r="AG157" i="10"/>
  <c r="AF157" i="10"/>
  <c r="AE157" i="10"/>
  <c r="AD157" i="10"/>
  <c r="AC157" i="10"/>
  <c r="AB157" i="10"/>
  <c r="W157" i="10"/>
  <c r="V157" i="10"/>
  <c r="P157" i="10"/>
  <c r="O157" i="10"/>
  <c r="AH156" i="10"/>
  <c r="AG156" i="10"/>
  <c r="AF156" i="10"/>
  <c r="AE156" i="10"/>
  <c r="AD156" i="10"/>
  <c r="AC156" i="10"/>
  <c r="AB156" i="10"/>
  <c r="W156" i="10"/>
  <c r="V156" i="10"/>
  <c r="P156" i="10"/>
  <c r="O156" i="10"/>
  <c r="AI155" i="10"/>
  <c r="AG155" i="10"/>
  <c r="AF155" i="10"/>
  <c r="AE155" i="10"/>
  <c r="AD155" i="10"/>
  <c r="AC155" i="10"/>
  <c r="AB155" i="10"/>
  <c r="W155" i="10"/>
  <c r="V155" i="10"/>
  <c r="P155" i="10"/>
  <c r="O155" i="10"/>
  <c r="AI154" i="10"/>
  <c r="AH154" i="10"/>
  <c r="AF154" i="10"/>
  <c r="AE154" i="10"/>
  <c r="AD154" i="10"/>
  <c r="AC154" i="10"/>
  <c r="AB154" i="10"/>
  <c r="W154" i="10"/>
  <c r="V154" i="10"/>
  <c r="P154" i="10"/>
  <c r="O154" i="10"/>
  <c r="AI153" i="10"/>
  <c r="AH153" i="10"/>
  <c r="AF153" i="10"/>
  <c r="AE153" i="10"/>
  <c r="AD153" i="10"/>
  <c r="AC153" i="10"/>
  <c r="AB153" i="10"/>
  <c r="W153" i="10"/>
  <c r="V153" i="10"/>
  <c r="P153" i="10"/>
  <c r="O153" i="10"/>
  <c r="AI152" i="10"/>
  <c r="AG152" i="10"/>
  <c r="AF152" i="10"/>
  <c r="AE152" i="10"/>
  <c r="AD152" i="10"/>
  <c r="AC152" i="10"/>
  <c r="AB152" i="10"/>
  <c r="V152" i="10"/>
  <c r="O152" i="10"/>
  <c r="AI151" i="10"/>
  <c r="AG151" i="10"/>
  <c r="AF151" i="10"/>
  <c r="AE151" i="10"/>
  <c r="AD151" i="10"/>
  <c r="AC151" i="10"/>
  <c r="AB151" i="10"/>
  <c r="V151" i="10"/>
  <c r="O151" i="10"/>
  <c r="AI150" i="10"/>
  <c r="AG150" i="10"/>
  <c r="AF150" i="10"/>
  <c r="AE150" i="10"/>
  <c r="AD150" i="10"/>
  <c r="AC150" i="10"/>
  <c r="AB150" i="10"/>
  <c r="V150" i="10"/>
  <c r="O150" i="10"/>
  <c r="AI149" i="10"/>
  <c r="AG149" i="10"/>
  <c r="AF149" i="10"/>
  <c r="AE149" i="10"/>
  <c r="AD149" i="10"/>
  <c r="AC149" i="10"/>
  <c r="AB149" i="10"/>
  <c r="V149" i="10"/>
  <c r="O149" i="10"/>
  <c r="AI148" i="10"/>
  <c r="AG148" i="10"/>
  <c r="AF148" i="10"/>
  <c r="AE148" i="10"/>
  <c r="AD148" i="10"/>
  <c r="AC148" i="10"/>
  <c r="AB148" i="10"/>
  <c r="V148" i="10"/>
  <c r="O148" i="10"/>
  <c r="AI147" i="10"/>
  <c r="AG147" i="10"/>
  <c r="AF147" i="10"/>
  <c r="AE147" i="10"/>
  <c r="AD147" i="10"/>
  <c r="AC147" i="10"/>
  <c r="AB147" i="10"/>
  <c r="V147" i="10"/>
  <c r="O147" i="10"/>
  <c r="AI146" i="10"/>
  <c r="AG146" i="10"/>
  <c r="AF146" i="10"/>
  <c r="AE146" i="10"/>
  <c r="AD146" i="10"/>
  <c r="AC146" i="10"/>
  <c r="AB146" i="10"/>
  <c r="V146" i="10"/>
  <c r="O146" i="10"/>
  <c r="AI145" i="10"/>
  <c r="AH145" i="10"/>
  <c r="AF145" i="10"/>
  <c r="AE145" i="10"/>
  <c r="AD145" i="10"/>
  <c r="AC145" i="10"/>
  <c r="AB145" i="10"/>
  <c r="W145" i="10"/>
  <c r="V145" i="10"/>
  <c r="O145" i="10"/>
  <c r="AI144" i="10"/>
  <c r="AG144" i="10"/>
  <c r="AF144" i="10"/>
  <c r="AE144" i="10"/>
  <c r="AD144" i="10"/>
  <c r="AC144" i="10"/>
  <c r="AB144" i="10"/>
  <c r="V144" i="10"/>
  <c r="O144" i="10"/>
  <c r="AH143" i="10"/>
  <c r="AG143" i="10"/>
  <c r="AF143" i="10"/>
  <c r="AE143" i="10"/>
  <c r="AD143" i="10"/>
  <c r="AB143" i="10"/>
  <c r="V143" i="10"/>
  <c r="O143" i="10"/>
  <c r="AH142" i="10"/>
  <c r="AG142" i="10"/>
  <c r="AF142" i="10"/>
  <c r="AE142" i="10"/>
  <c r="AD142" i="10"/>
  <c r="AB142" i="10"/>
  <c r="V142" i="10"/>
  <c r="O142" i="10"/>
  <c r="AH141" i="10"/>
  <c r="AG141" i="10"/>
  <c r="AF141" i="10"/>
  <c r="AE141" i="10"/>
  <c r="AD141" i="10"/>
  <c r="AB141" i="10"/>
  <c r="V141" i="10"/>
  <c r="O141" i="10"/>
  <c r="P141" i="10" s="1"/>
  <c r="AH140" i="10"/>
  <c r="AG140" i="10"/>
  <c r="AF140" i="10"/>
  <c r="AE140" i="10"/>
  <c r="AD140" i="10"/>
  <c r="AB140" i="10"/>
  <c r="V140" i="10"/>
  <c r="O140" i="10"/>
  <c r="AH139" i="10"/>
  <c r="AG139" i="10"/>
  <c r="AF139" i="10"/>
  <c r="AE139" i="10"/>
  <c r="AD139" i="10"/>
  <c r="AB139" i="10"/>
  <c r="V139" i="10"/>
  <c r="O139" i="10"/>
  <c r="AH138" i="10"/>
  <c r="AG138" i="10"/>
  <c r="AF138" i="10"/>
  <c r="AE138" i="10"/>
  <c r="AD138" i="10"/>
  <c r="AB138" i="10"/>
  <c r="V138" i="10"/>
  <c r="O138" i="10"/>
  <c r="AH137" i="10"/>
  <c r="AG137" i="10"/>
  <c r="AF137" i="10"/>
  <c r="AE137" i="10"/>
  <c r="AD137" i="10"/>
  <c r="AB137" i="10"/>
  <c r="V137" i="10"/>
  <c r="O137" i="10"/>
  <c r="AI136" i="10"/>
  <c r="AG136" i="10"/>
  <c r="AF136" i="10"/>
  <c r="AE136" i="10"/>
  <c r="AD136" i="10"/>
  <c r="AC136" i="10"/>
  <c r="AB136" i="10"/>
  <c r="W136" i="10"/>
  <c r="V136" i="10"/>
  <c r="P136" i="10"/>
  <c r="O136" i="10"/>
  <c r="AH135" i="10"/>
  <c r="AG135" i="10"/>
  <c r="AF135" i="10"/>
  <c r="AE135" i="10"/>
  <c r="AD135" i="10"/>
  <c r="AC135" i="10"/>
  <c r="AB135" i="10"/>
  <c r="W135" i="10"/>
  <c r="V135" i="10"/>
  <c r="P135" i="10"/>
  <c r="O135" i="10"/>
  <c r="AH134" i="10"/>
  <c r="AG134" i="10"/>
  <c r="AF134" i="10"/>
  <c r="AE134" i="10"/>
  <c r="AD134" i="10"/>
  <c r="AC134" i="10"/>
  <c r="AB134" i="10"/>
  <c r="W134" i="10"/>
  <c r="V134" i="10"/>
  <c r="P134" i="10"/>
  <c r="O134" i="10"/>
  <c r="AI133" i="10"/>
  <c r="AG133" i="10"/>
  <c r="AF133" i="10"/>
  <c r="AE133" i="10"/>
  <c r="AD133" i="10"/>
  <c r="AC133" i="10"/>
  <c r="AB133" i="10"/>
  <c r="W133" i="10"/>
  <c r="V133" i="10"/>
  <c r="P133" i="10"/>
  <c r="O133" i="10"/>
  <c r="AI132" i="10"/>
  <c r="AH132" i="10"/>
  <c r="AF132" i="10"/>
  <c r="AE132" i="10"/>
  <c r="AD132" i="10"/>
  <c r="AC132" i="10"/>
  <c r="AB132" i="10"/>
  <c r="W132" i="10"/>
  <c r="V132" i="10"/>
  <c r="O132" i="10"/>
  <c r="AI131" i="10"/>
  <c r="AG131" i="10"/>
  <c r="AF131" i="10"/>
  <c r="AE131" i="10"/>
  <c r="AD131" i="10"/>
  <c r="AC131" i="10"/>
  <c r="AB131" i="10"/>
  <c r="V131" i="10"/>
  <c r="O131" i="10"/>
  <c r="AI130" i="10"/>
  <c r="AG130" i="10"/>
  <c r="AF130" i="10"/>
  <c r="AE130" i="10"/>
  <c r="AD130" i="10"/>
  <c r="AC130" i="10"/>
  <c r="AB130" i="10"/>
  <c r="V130" i="10"/>
  <c r="O130" i="10"/>
  <c r="AI129" i="10"/>
  <c r="AH129" i="10"/>
  <c r="AF129" i="10"/>
  <c r="AE129" i="10"/>
  <c r="AD129" i="10"/>
  <c r="AC129" i="10"/>
  <c r="AB129" i="10"/>
  <c r="W129" i="10"/>
  <c r="V129" i="10"/>
  <c r="P129" i="10"/>
  <c r="O129" i="10"/>
  <c r="AI128" i="10"/>
  <c r="AG128" i="10"/>
  <c r="AF128" i="10"/>
  <c r="AE128" i="10"/>
  <c r="AD128" i="10"/>
  <c r="AC128" i="10"/>
  <c r="AB128" i="10"/>
  <c r="W128" i="10"/>
  <c r="V128" i="10"/>
  <c r="P128" i="10"/>
  <c r="O128" i="10"/>
  <c r="AI127" i="10"/>
  <c r="AG127" i="10"/>
  <c r="AF127" i="10"/>
  <c r="AE127" i="10"/>
  <c r="AD127" i="10"/>
  <c r="AC127" i="10"/>
  <c r="AB127" i="10"/>
  <c r="W127" i="10"/>
  <c r="V127" i="10"/>
  <c r="P127" i="10"/>
  <c r="O127" i="10"/>
  <c r="AI126" i="10"/>
  <c r="AG126" i="10"/>
  <c r="AF126" i="10"/>
  <c r="AE126" i="10"/>
  <c r="AD126" i="10"/>
  <c r="AC126" i="10"/>
  <c r="AB126" i="10"/>
  <c r="W126" i="10"/>
  <c r="V126" i="10"/>
  <c r="P126" i="10"/>
  <c r="O126" i="10"/>
  <c r="AI125" i="10"/>
  <c r="AG125" i="10"/>
  <c r="AF125" i="10"/>
  <c r="AE125" i="10"/>
  <c r="AD125" i="10"/>
  <c r="AC125" i="10"/>
  <c r="AB125" i="10"/>
  <c r="V125" i="10"/>
  <c r="O125" i="10"/>
  <c r="AI124" i="10"/>
  <c r="AG124" i="10"/>
  <c r="AF124" i="10"/>
  <c r="AE124" i="10"/>
  <c r="AD124" i="10"/>
  <c r="AC124" i="10"/>
  <c r="AB124" i="10"/>
  <c r="V124" i="10"/>
  <c r="O124" i="10"/>
  <c r="AI123" i="10"/>
  <c r="AG123" i="10"/>
  <c r="AF123" i="10"/>
  <c r="AE123" i="10"/>
  <c r="AD123" i="10"/>
  <c r="AC123" i="10"/>
  <c r="AB123" i="10"/>
  <c r="V123" i="10"/>
  <c r="O123" i="10"/>
  <c r="AI122" i="10"/>
  <c r="AG122" i="10"/>
  <c r="AF122" i="10"/>
  <c r="AE122" i="10"/>
  <c r="AD122" i="10"/>
  <c r="AC122" i="10"/>
  <c r="AB122" i="10"/>
  <c r="W122" i="10"/>
  <c r="V122" i="10"/>
  <c r="P122" i="10"/>
  <c r="O122" i="10"/>
  <c r="AI121" i="10"/>
  <c r="AG121" i="10"/>
  <c r="AF121" i="10"/>
  <c r="AE121" i="10"/>
  <c r="AD121" i="10"/>
  <c r="AC121" i="10"/>
  <c r="AB121" i="10"/>
  <c r="W121" i="10"/>
  <c r="V121" i="10"/>
  <c r="P121" i="10"/>
  <c r="O121" i="10"/>
  <c r="AI120" i="10"/>
  <c r="AG120" i="10"/>
  <c r="AF120" i="10"/>
  <c r="AE120" i="10"/>
  <c r="AD120" i="10"/>
  <c r="AC120" i="10"/>
  <c r="AB120" i="10"/>
  <c r="W120" i="10"/>
  <c r="V120" i="10"/>
  <c r="P120" i="10"/>
  <c r="O120" i="10"/>
  <c r="AI119" i="10"/>
  <c r="AG119" i="10"/>
  <c r="AF119" i="10"/>
  <c r="AE119" i="10"/>
  <c r="AD119" i="10"/>
  <c r="AC119" i="10"/>
  <c r="AB119" i="10"/>
  <c r="W119" i="10"/>
  <c r="V119" i="10"/>
  <c r="P119" i="10"/>
  <c r="O119" i="10"/>
  <c r="AI118" i="10"/>
  <c r="AH118" i="10"/>
  <c r="AF118" i="10"/>
  <c r="AE118" i="10"/>
  <c r="AD118" i="10"/>
  <c r="AC118" i="10"/>
  <c r="AB118" i="10"/>
  <c r="W118" i="10"/>
  <c r="V118" i="10"/>
  <c r="P118" i="10"/>
  <c r="O118" i="10"/>
  <c r="AI117" i="10"/>
  <c r="AG117" i="10"/>
  <c r="AF117" i="10"/>
  <c r="AE117" i="10"/>
  <c r="AD117" i="10"/>
  <c r="AC117" i="10"/>
  <c r="AB117" i="10"/>
  <c r="V117" i="10"/>
  <c r="O117" i="10"/>
  <c r="AI116" i="10"/>
  <c r="AH116" i="10"/>
  <c r="AF116" i="10"/>
  <c r="AE116" i="10"/>
  <c r="AD116" i="10"/>
  <c r="AC116" i="10"/>
  <c r="AB116" i="10"/>
  <c r="W116" i="10"/>
  <c r="V116" i="10"/>
  <c r="P116" i="10"/>
  <c r="O116" i="10"/>
  <c r="AI115" i="10"/>
  <c r="AG115" i="10"/>
  <c r="AF115" i="10"/>
  <c r="AE115" i="10"/>
  <c r="AD115" i="10"/>
  <c r="AC115" i="10"/>
  <c r="AB115" i="10"/>
  <c r="V115" i="10"/>
  <c r="O115" i="10"/>
  <c r="AI114" i="10"/>
  <c r="AG114" i="10"/>
  <c r="AF114" i="10"/>
  <c r="AE114" i="10"/>
  <c r="AD114" i="10"/>
  <c r="AC114" i="10"/>
  <c r="AB114" i="10"/>
  <c r="V114" i="10"/>
  <c r="O114" i="10"/>
  <c r="AI113" i="10"/>
  <c r="AG113" i="10"/>
  <c r="AF113" i="10"/>
  <c r="AE113" i="10"/>
  <c r="AD113" i="10"/>
  <c r="AC113" i="10"/>
  <c r="AB113" i="10"/>
  <c r="V113" i="10"/>
  <c r="O113" i="10"/>
  <c r="AI112" i="10"/>
  <c r="AG112" i="10"/>
  <c r="AF112" i="10"/>
  <c r="AE112" i="10"/>
  <c r="AD112" i="10"/>
  <c r="AC112" i="10"/>
  <c r="AB112" i="10"/>
  <c r="V112" i="10"/>
  <c r="O112" i="10"/>
  <c r="AI111" i="10"/>
  <c r="AG111" i="10"/>
  <c r="AF111" i="10"/>
  <c r="AE111" i="10"/>
  <c r="AD111" i="10"/>
  <c r="AC111" i="10"/>
  <c r="AB111" i="10"/>
  <c r="V111" i="10"/>
  <c r="O111" i="10"/>
  <c r="AI110" i="10"/>
  <c r="AG110" i="10"/>
  <c r="AF110" i="10"/>
  <c r="AE110" i="10"/>
  <c r="AD110" i="10"/>
  <c r="AC110" i="10"/>
  <c r="AB110" i="10"/>
  <c r="V110" i="10"/>
  <c r="O110" i="10"/>
  <c r="AI109" i="10"/>
  <c r="AH109" i="10"/>
  <c r="AF109" i="10"/>
  <c r="AE109" i="10"/>
  <c r="AD109" i="10"/>
  <c r="AC109" i="10"/>
  <c r="AB109" i="10"/>
  <c r="W109" i="10"/>
  <c r="V109" i="10"/>
  <c r="P109" i="10"/>
  <c r="O109" i="10"/>
  <c r="AI108" i="10"/>
  <c r="AG108" i="10"/>
  <c r="AF108" i="10"/>
  <c r="AE108" i="10"/>
  <c r="AD108" i="10"/>
  <c r="AC108" i="10"/>
  <c r="AB108" i="10"/>
  <c r="V108" i="10"/>
  <c r="O108" i="10"/>
  <c r="AI107" i="10"/>
  <c r="AG107" i="10"/>
  <c r="AF107" i="10"/>
  <c r="AE107" i="10"/>
  <c r="AD107" i="10"/>
  <c r="AC107" i="10"/>
  <c r="AB107" i="10"/>
  <c r="W107" i="10"/>
  <c r="V107" i="10"/>
  <c r="P107" i="10"/>
  <c r="O107" i="10"/>
  <c r="AI106" i="10"/>
  <c r="AG106" i="10"/>
  <c r="AF106" i="10"/>
  <c r="AE106" i="10"/>
  <c r="AD106" i="10"/>
  <c r="AC106" i="10"/>
  <c r="AB106" i="10"/>
  <c r="V106" i="10"/>
  <c r="O106" i="10"/>
  <c r="AH105" i="10"/>
  <c r="AG105" i="10"/>
  <c r="AF105" i="10"/>
  <c r="AE105" i="10"/>
  <c r="AD105" i="10"/>
  <c r="AB105" i="10"/>
  <c r="V105" i="10"/>
  <c r="O105" i="10"/>
  <c r="AH104" i="10"/>
  <c r="AG104" i="10"/>
  <c r="AF104" i="10"/>
  <c r="AE104" i="10"/>
  <c r="AD104" i="10"/>
  <c r="AB104" i="10"/>
  <c r="V104" i="10"/>
  <c r="O104" i="10"/>
  <c r="AH103" i="10"/>
  <c r="AG103" i="10"/>
  <c r="AF103" i="10"/>
  <c r="AE103" i="10"/>
  <c r="AD103" i="10"/>
  <c r="AB103" i="10"/>
  <c r="V103" i="10"/>
  <c r="O103" i="10"/>
  <c r="AH102" i="10"/>
  <c r="AG102" i="10"/>
  <c r="AF102" i="10"/>
  <c r="AE102" i="10"/>
  <c r="AD102" i="10"/>
  <c r="AB102" i="10"/>
  <c r="V102" i="10"/>
  <c r="O102" i="10"/>
  <c r="AH101" i="10"/>
  <c r="AG101" i="10"/>
  <c r="AF101" i="10"/>
  <c r="AE101" i="10"/>
  <c r="AD101" i="10"/>
  <c r="AB101" i="10"/>
  <c r="V101" i="10"/>
  <c r="W101" i="10" s="1"/>
  <c r="O101" i="10"/>
  <c r="P101" i="10" s="1"/>
  <c r="AH100" i="10"/>
  <c r="AG100" i="10"/>
  <c r="AF100" i="10"/>
  <c r="AE100" i="10"/>
  <c r="AD100" i="10"/>
  <c r="AB100" i="10"/>
  <c r="V100" i="10"/>
  <c r="O100" i="10"/>
  <c r="AI99" i="10"/>
  <c r="AH99" i="10"/>
  <c r="AF99" i="10"/>
  <c r="AE99" i="10"/>
  <c r="AD99" i="10"/>
  <c r="AC99" i="10"/>
  <c r="AB99" i="10"/>
  <c r="W99" i="10"/>
  <c r="V99" i="10"/>
  <c r="P99" i="10"/>
  <c r="O99" i="10"/>
  <c r="AI98" i="10"/>
  <c r="AH98" i="10"/>
  <c r="AF98" i="10"/>
  <c r="AE98" i="10"/>
  <c r="AD98" i="10"/>
  <c r="AC98" i="10"/>
  <c r="AB98" i="10"/>
  <c r="W98" i="10"/>
  <c r="V98" i="10"/>
  <c r="P98" i="10"/>
  <c r="O98" i="10"/>
  <c r="AI97" i="10"/>
  <c r="AH97" i="10"/>
  <c r="AF97" i="10"/>
  <c r="AE97" i="10"/>
  <c r="AD97" i="10"/>
  <c r="AC97" i="10"/>
  <c r="AB97" i="10"/>
  <c r="W97" i="10"/>
  <c r="V97" i="10"/>
  <c r="P97" i="10"/>
  <c r="O97" i="10"/>
  <c r="AI96" i="10"/>
  <c r="AG96" i="10"/>
  <c r="AF96" i="10"/>
  <c r="AE96" i="10"/>
  <c r="AD96" i="10"/>
  <c r="AC96" i="10"/>
  <c r="AB96" i="10"/>
  <c r="W96" i="10"/>
  <c r="V96" i="10"/>
  <c r="P96" i="10"/>
  <c r="O96" i="10"/>
  <c r="AH95" i="10"/>
  <c r="AG95" i="10"/>
  <c r="AF95" i="10"/>
  <c r="AE95" i="10"/>
  <c r="AD95" i="10"/>
  <c r="AC95" i="10"/>
  <c r="AB95" i="10"/>
  <c r="W95" i="10"/>
  <c r="V95" i="10"/>
  <c r="P95" i="10"/>
  <c r="O95" i="10"/>
  <c r="AI94" i="10"/>
  <c r="AG94" i="10"/>
  <c r="AF94" i="10"/>
  <c r="AE94" i="10"/>
  <c r="AD94" i="10"/>
  <c r="AC94" i="10"/>
  <c r="AB94" i="10"/>
  <c r="W94" i="10"/>
  <c r="V94" i="10"/>
  <c r="P94" i="10"/>
  <c r="O94" i="10"/>
  <c r="AI93" i="10"/>
  <c r="AG93" i="10"/>
  <c r="AF93" i="10"/>
  <c r="AE93" i="10"/>
  <c r="AD93" i="10"/>
  <c r="AC93" i="10"/>
  <c r="AB93" i="10"/>
  <c r="W93" i="10"/>
  <c r="V93" i="10"/>
  <c r="P93" i="10"/>
  <c r="O93" i="10"/>
  <c r="AI92" i="10"/>
  <c r="AG92" i="10"/>
  <c r="AF92" i="10"/>
  <c r="AE92" i="10"/>
  <c r="AD92" i="10"/>
  <c r="AC92" i="10"/>
  <c r="AB92" i="10"/>
  <c r="W92" i="10"/>
  <c r="V92" i="10"/>
  <c r="P92" i="10"/>
  <c r="O92" i="10"/>
  <c r="AI91" i="10"/>
  <c r="AG91" i="10"/>
  <c r="AF91" i="10"/>
  <c r="AE91" i="10"/>
  <c r="AD91" i="10"/>
  <c r="AC91" i="10"/>
  <c r="AB91" i="10"/>
  <c r="W91" i="10"/>
  <c r="V91" i="10"/>
  <c r="P91" i="10"/>
  <c r="O91" i="10"/>
  <c r="AH90" i="10"/>
  <c r="AG90" i="10"/>
  <c r="AF90" i="10"/>
  <c r="AE90" i="10"/>
  <c r="AD90" i="10"/>
  <c r="AC90" i="10"/>
  <c r="AB90" i="10"/>
  <c r="W90" i="10"/>
  <c r="V90" i="10"/>
  <c r="P90" i="10"/>
  <c r="O90" i="10"/>
  <c r="AH89" i="10"/>
  <c r="AG89" i="10"/>
  <c r="AF89" i="10"/>
  <c r="AE89" i="10"/>
  <c r="AD89" i="10"/>
  <c r="AC89" i="10"/>
  <c r="AB89" i="10"/>
  <c r="W89" i="10"/>
  <c r="V89" i="10"/>
  <c r="P89" i="10"/>
  <c r="O89" i="10"/>
  <c r="AI88" i="10"/>
  <c r="AG88" i="10"/>
  <c r="AF88" i="10"/>
  <c r="AE88" i="10"/>
  <c r="AD88" i="10"/>
  <c r="AC88" i="10"/>
  <c r="AB88" i="10"/>
  <c r="W88" i="10"/>
  <c r="V88" i="10"/>
  <c r="P88" i="10"/>
  <c r="O88" i="10"/>
  <c r="AI87" i="10"/>
  <c r="AH87" i="10"/>
  <c r="AF87" i="10"/>
  <c r="AE87" i="10"/>
  <c r="AD87" i="10"/>
  <c r="AC87" i="10"/>
  <c r="AB87" i="10"/>
  <c r="W87" i="10"/>
  <c r="V87" i="10"/>
  <c r="P87" i="10"/>
  <c r="O87" i="10"/>
  <c r="AI86" i="10"/>
  <c r="AG86" i="10"/>
  <c r="AF86" i="10"/>
  <c r="AE86" i="10"/>
  <c r="AD86" i="10"/>
  <c r="AC86" i="10"/>
  <c r="AB86" i="10"/>
  <c r="W86" i="10"/>
  <c r="V86" i="10"/>
  <c r="P86" i="10"/>
  <c r="O86" i="10"/>
  <c r="AI85" i="10"/>
  <c r="AG85" i="10"/>
  <c r="AF85" i="10"/>
  <c r="AE85" i="10"/>
  <c r="AD85" i="10"/>
  <c r="AC85" i="10"/>
  <c r="AB85" i="10"/>
  <c r="W85" i="10"/>
  <c r="V85" i="10"/>
  <c r="P85" i="10"/>
  <c r="O85" i="10"/>
  <c r="AI84" i="10"/>
  <c r="AG84" i="10"/>
  <c r="AF84" i="10"/>
  <c r="AE84" i="10"/>
  <c r="AD84" i="10"/>
  <c r="AC84" i="10"/>
  <c r="AB84" i="10"/>
  <c r="W84" i="10"/>
  <c r="V84" i="10"/>
  <c r="P84" i="10"/>
  <c r="O84" i="10"/>
  <c r="AI83" i="10"/>
  <c r="AG83" i="10"/>
  <c r="AF83" i="10"/>
  <c r="AE83" i="10"/>
  <c r="AD83" i="10"/>
  <c r="AC83" i="10"/>
  <c r="AB83" i="10"/>
  <c r="W83" i="10"/>
  <c r="V83" i="10"/>
  <c r="P83" i="10"/>
  <c r="O83" i="10"/>
  <c r="AI82" i="10"/>
  <c r="AG82" i="10"/>
  <c r="AF82" i="10"/>
  <c r="AE82" i="10"/>
  <c r="AD82" i="10"/>
  <c r="AC82" i="10"/>
  <c r="AB82" i="10"/>
  <c r="W82" i="10"/>
  <c r="V82" i="10"/>
  <c r="P82" i="10"/>
  <c r="O82" i="10"/>
  <c r="AI81" i="10"/>
  <c r="AG81" i="10"/>
  <c r="AF81" i="10"/>
  <c r="AE81" i="10"/>
  <c r="AD81" i="10"/>
  <c r="AC81" i="10"/>
  <c r="AB81" i="10"/>
  <c r="V81" i="10"/>
  <c r="O81" i="10"/>
  <c r="AI80" i="10"/>
  <c r="AG80" i="10"/>
  <c r="AF80" i="10"/>
  <c r="AE80" i="10"/>
  <c r="AD80" i="10"/>
  <c r="AC80" i="10"/>
  <c r="AB80" i="10"/>
  <c r="W80" i="10"/>
  <c r="V80" i="10"/>
  <c r="P80" i="10"/>
  <c r="O80" i="10"/>
  <c r="AI79" i="10"/>
  <c r="AG79" i="10"/>
  <c r="AF79" i="10"/>
  <c r="AE79" i="10"/>
  <c r="AD79" i="10"/>
  <c r="AC79" i="10"/>
  <c r="AB79" i="10"/>
  <c r="V79" i="10"/>
  <c r="O79" i="10"/>
  <c r="AI78" i="10"/>
  <c r="AG78" i="10"/>
  <c r="AF78" i="10"/>
  <c r="AE78" i="10"/>
  <c r="AD78" i="10"/>
  <c r="AC78" i="10"/>
  <c r="AB78" i="10"/>
  <c r="W78" i="10"/>
  <c r="V78" i="10"/>
  <c r="P78" i="10"/>
  <c r="O78" i="10"/>
  <c r="AI77" i="10"/>
  <c r="AG77" i="10"/>
  <c r="AF77" i="10"/>
  <c r="AE77" i="10"/>
  <c r="AD77" i="10"/>
  <c r="AC77" i="10"/>
  <c r="AB77" i="10"/>
  <c r="W77" i="10"/>
  <c r="V77" i="10"/>
  <c r="P77" i="10"/>
  <c r="O77" i="10"/>
  <c r="AH76" i="10"/>
  <c r="AG76" i="10"/>
  <c r="AF76" i="10"/>
  <c r="AE76" i="10"/>
  <c r="AD76" i="10"/>
  <c r="AC76" i="10"/>
  <c r="AB76" i="10"/>
  <c r="W76" i="10"/>
  <c r="V76" i="10"/>
  <c r="P76" i="10"/>
  <c r="O76" i="10"/>
  <c r="AI75" i="10"/>
  <c r="AH75" i="10"/>
  <c r="AF75" i="10"/>
  <c r="AE75" i="10"/>
  <c r="AD75" i="10"/>
  <c r="AC75" i="10"/>
  <c r="AB75" i="10"/>
  <c r="W75" i="10"/>
  <c r="V75" i="10"/>
  <c r="O75" i="10"/>
  <c r="AI74" i="10"/>
  <c r="AG74" i="10"/>
  <c r="AF74" i="10"/>
  <c r="AE74" i="10"/>
  <c r="AD74" i="10"/>
  <c r="AC74" i="10"/>
  <c r="AB74" i="10"/>
  <c r="V74" i="10"/>
  <c r="O74" i="10"/>
  <c r="AI73" i="10"/>
  <c r="AG73" i="10"/>
  <c r="AF73" i="10"/>
  <c r="AE73" i="10"/>
  <c r="AD73" i="10"/>
  <c r="AC73" i="10"/>
  <c r="AB73" i="10"/>
  <c r="V73" i="10"/>
  <c r="O73" i="10"/>
  <c r="AI72" i="10"/>
  <c r="AG72" i="10"/>
  <c r="AF72" i="10"/>
  <c r="AE72" i="10"/>
  <c r="AD72" i="10"/>
  <c r="AC72" i="10"/>
  <c r="AB72" i="10"/>
  <c r="V72" i="10"/>
  <c r="O72" i="10"/>
  <c r="AI71" i="10"/>
  <c r="AG71" i="10"/>
  <c r="AF71" i="10"/>
  <c r="AE71" i="10"/>
  <c r="AD71" i="10"/>
  <c r="AC71" i="10"/>
  <c r="AB71" i="10"/>
  <c r="V71" i="10"/>
  <c r="O71" i="10"/>
  <c r="AI70" i="10"/>
  <c r="AG70" i="10"/>
  <c r="AF70" i="10"/>
  <c r="AE70" i="10"/>
  <c r="AD70" i="10"/>
  <c r="AC70" i="10"/>
  <c r="AB70" i="10"/>
  <c r="V70" i="10"/>
  <c r="O70" i="10"/>
  <c r="AI69" i="10"/>
  <c r="AH69" i="10"/>
  <c r="AF69" i="10"/>
  <c r="AE69" i="10"/>
  <c r="AD69" i="10"/>
  <c r="AC69" i="10"/>
  <c r="AB69" i="10"/>
  <c r="W69" i="10"/>
  <c r="V69" i="10"/>
  <c r="P69" i="10"/>
  <c r="O69" i="10"/>
  <c r="AI68" i="10"/>
  <c r="AH68" i="10"/>
  <c r="AF68" i="10"/>
  <c r="AE68" i="10"/>
  <c r="AD68" i="10"/>
  <c r="AC68" i="10"/>
  <c r="AB68" i="10"/>
  <c r="W68" i="10"/>
  <c r="V68" i="10"/>
  <c r="P68" i="10"/>
  <c r="O68" i="10"/>
  <c r="AH67" i="10"/>
  <c r="AG67" i="10"/>
  <c r="AF67" i="10"/>
  <c r="AE67" i="10"/>
  <c r="AD67" i="10"/>
  <c r="AC67" i="10"/>
  <c r="AB67" i="10"/>
  <c r="W67" i="10"/>
  <c r="V67" i="10"/>
  <c r="P67" i="10"/>
  <c r="O67" i="10"/>
  <c r="AI62" i="10"/>
  <c r="AG62" i="10"/>
  <c r="AF62" i="10"/>
  <c r="AE62" i="10"/>
  <c r="AD62" i="10"/>
  <c r="AC62" i="10"/>
  <c r="AB62" i="10"/>
  <c r="W62" i="10"/>
  <c r="V62" i="10"/>
  <c r="P62" i="10"/>
  <c r="O62" i="10"/>
  <c r="AH66" i="10"/>
  <c r="AG66" i="10"/>
  <c r="AF66" i="10"/>
  <c r="AE66" i="10"/>
  <c r="AD66" i="10"/>
  <c r="AC66" i="10"/>
  <c r="AB66" i="10"/>
  <c r="W66" i="10"/>
  <c r="V66" i="10"/>
  <c r="P66" i="10"/>
  <c r="O66" i="10"/>
  <c r="AH65" i="10"/>
  <c r="AG65" i="10"/>
  <c r="AF65" i="10"/>
  <c r="AE65" i="10"/>
  <c r="AD65" i="10"/>
  <c r="AC65" i="10"/>
  <c r="AB65" i="10"/>
  <c r="W65" i="10"/>
  <c r="V65" i="10"/>
  <c r="P65" i="10"/>
  <c r="O65" i="10"/>
  <c r="AH64" i="10"/>
  <c r="AG64" i="10"/>
  <c r="AF64" i="10"/>
  <c r="AE64" i="10"/>
  <c r="AD64" i="10"/>
  <c r="AC64" i="10"/>
  <c r="AB64" i="10"/>
  <c r="W64" i="10"/>
  <c r="V64" i="10"/>
  <c r="P64" i="10"/>
  <c r="O64" i="10"/>
  <c r="AH63" i="10"/>
  <c r="AG63" i="10"/>
  <c r="AF63" i="10"/>
  <c r="AE63" i="10"/>
  <c r="AD63" i="10"/>
  <c r="AC63" i="10"/>
  <c r="AB63" i="10"/>
  <c r="W63" i="10"/>
  <c r="V63" i="10"/>
  <c r="P63" i="10"/>
  <c r="O63" i="10"/>
  <c r="AH61" i="10"/>
  <c r="AG61" i="10"/>
  <c r="AF61" i="10"/>
  <c r="AE61" i="10"/>
  <c r="AD61" i="10"/>
  <c r="AB61" i="10"/>
  <c r="V61" i="10"/>
  <c r="O61" i="10"/>
  <c r="AI60" i="10"/>
  <c r="AG60" i="10"/>
  <c r="AF60" i="10"/>
  <c r="AE60" i="10"/>
  <c r="AD60" i="10"/>
  <c r="AC60" i="10"/>
  <c r="AB60" i="10"/>
  <c r="V60" i="10"/>
  <c r="O60" i="10"/>
  <c r="AH59" i="10"/>
  <c r="AG59" i="10"/>
  <c r="AF59" i="10"/>
  <c r="AE59" i="10"/>
  <c r="AD59" i="10"/>
  <c r="AB59" i="10"/>
  <c r="V59" i="10"/>
  <c r="O59" i="10"/>
  <c r="AH58" i="10"/>
  <c r="AG58" i="10"/>
  <c r="AF58" i="10"/>
  <c r="AE58" i="10"/>
  <c r="AD58" i="10"/>
  <c r="AB58" i="10"/>
  <c r="V58" i="10"/>
  <c r="O58" i="10"/>
  <c r="AH57" i="10"/>
  <c r="AG57" i="10"/>
  <c r="AF57" i="10"/>
  <c r="AE57" i="10"/>
  <c r="AD57" i="10"/>
  <c r="AB57" i="10"/>
  <c r="V57" i="10"/>
  <c r="O57" i="10"/>
  <c r="AH56" i="10"/>
  <c r="AG56" i="10"/>
  <c r="AF56" i="10"/>
  <c r="AE56" i="10"/>
  <c r="AD56" i="10"/>
  <c r="AB56" i="10"/>
  <c r="V56" i="10"/>
  <c r="O56" i="10"/>
  <c r="AH55" i="10"/>
  <c r="AG55" i="10"/>
  <c r="AF55" i="10"/>
  <c r="AE55" i="10"/>
  <c r="AD55" i="10"/>
  <c r="AB55" i="10"/>
  <c r="V55" i="10"/>
  <c r="O55" i="10"/>
  <c r="AH54" i="10"/>
  <c r="AG54" i="10"/>
  <c r="AF54" i="10"/>
  <c r="AE54" i="10"/>
  <c r="AD54" i="10"/>
  <c r="AB54" i="10"/>
  <c r="V54" i="10"/>
  <c r="O54" i="10"/>
  <c r="AI53" i="10"/>
  <c r="AH53" i="10"/>
  <c r="AF53" i="10"/>
  <c r="AE53" i="10"/>
  <c r="AD53" i="10"/>
  <c r="AC53" i="10"/>
  <c r="AB53" i="10"/>
  <c r="W53" i="10"/>
  <c r="V53" i="10"/>
  <c r="P53" i="10"/>
  <c r="O53" i="10"/>
  <c r="AI52" i="10"/>
  <c r="AH52" i="10"/>
  <c r="AF52" i="10"/>
  <c r="AE52" i="10"/>
  <c r="AD52" i="10"/>
  <c r="AC52" i="10"/>
  <c r="AB52" i="10"/>
  <c r="W52" i="10"/>
  <c r="V52" i="10"/>
  <c r="P52" i="10"/>
  <c r="O52" i="10"/>
  <c r="AI51" i="10"/>
  <c r="AH51" i="10"/>
  <c r="AF51" i="10"/>
  <c r="AE51" i="10"/>
  <c r="AD51" i="10"/>
  <c r="AC51" i="10"/>
  <c r="AB51" i="10"/>
  <c r="W51" i="10"/>
  <c r="V51" i="10"/>
  <c r="P51" i="10"/>
  <c r="O51" i="10"/>
  <c r="AI50" i="10"/>
  <c r="AH50" i="10"/>
  <c r="AF50" i="10"/>
  <c r="AE50" i="10"/>
  <c r="AD50" i="10"/>
  <c r="AC50" i="10"/>
  <c r="AB50" i="10"/>
  <c r="W50" i="10"/>
  <c r="V50" i="10"/>
  <c r="P50" i="10"/>
  <c r="O50" i="10"/>
  <c r="AI49" i="10"/>
  <c r="AG49" i="10"/>
  <c r="AF49" i="10"/>
  <c r="AE49" i="10"/>
  <c r="AD49" i="10"/>
  <c r="AC49" i="10"/>
  <c r="AB49" i="10"/>
  <c r="W49" i="10"/>
  <c r="V49" i="10"/>
  <c r="P49" i="10"/>
  <c r="O49" i="10"/>
  <c r="AH48" i="10"/>
  <c r="AG48" i="10"/>
  <c r="AF48" i="10"/>
  <c r="AE48" i="10"/>
  <c r="AD48" i="10"/>
  <c r="AC48" i="10"/>
  <c r="AB48" i="10"/>
  <c r="W48" i="10"/>
  <c r="V48" i="10"/>
  <c r="P48" i="10"/>
  <c r="O48" i="10"/>
  <c r="AI47" i="10"/>
  <c r="AG47" i="10"/>
  <c r="AF47" i="10"/>
  <c r="AE47" i="10"/>
  <c r="AD47" i="10"/>
  <c r="AC47" i="10"/>
  <c r="AB47" i="10"/>
  <c r="W47" i="10"/>
  <c r="V47" i="10"/>
  <c r="P47" i="10"/>
  <c r="O47" i="10"/>
  <c r="AH46" i="10"/>
  <c r="AG46" i="10"/>
  <c r="AF46" i="10"/>
  <c r="AE46" i="10"/>
  <c r="AD46" i="10"/>
  <c r="AC46" i="10"/>
  <c r="AB46" i="10"/>
  <c r="W46" i="10"/>
  <c r="V46" i="10"/>
  <c r="P46" i="10"/>
  <c r="O46" i="10"/>
  <c r="AI45" i="10"/>
  <c r="AG45" i="10"/>
  <c r="AF45" i="10"/>
  <c r="AE45" i="10"/>
  <c r="AD45" i="10"/>
  <c r="AC45" i="10"/>
  <c r="AB45" i="10"/>
  <c r="W45" i="10"/>
  <c r="V45" i="10"/>
  <c r="P45" i="10"/>
  <c r="O45" i="10"/>
  <c r="AI44" i="10"/>
  <c r="AG44" i="10"/>
  <c r="AF44" i="10"/>
  <c r="AE44" i="10"/>
  <c r="AD44" i="10"/>
  <c r="AC44" i="10"/>
  <c r="AB44" i="10"/>
  <c r="W44" i="10"/>
  <c r="V44" i="10"/>
  <c r="P44" i="10"/>
  <c r="O44" i="10"/>
  <c r="AI43" i="10"/>
  <c r="AH43" i="10"/>
  <c r="AF43" i="10"/>
  <c r="AE43" i="10"/>
  <c r="AD43" i="10"/>
  <c r="AC43" i="10"/>
  <c r="AB43" i="10"/>
  <c r="W43" i="10"/>
  <c r="V43" i="10"/>
  <c r="P43" i="10"/>
  <c r="O43" i="10"/>
  <c r="AI42" i="10"/>
  <c r="AG42" i="10"/>
  <c r="AF42" i="10"/>
  <c r="AE42" i="10"/>
  <c r="AD42" i="10"/>
  <c r="AC42" i="10"/>
  <c r="AB42" i="10"/>
  <c r="W42" i="10"/>
  <c r="V42" i="10"/>
  <c r="P42" i="10"/>
  <c r="O42" i="10"/>
  <c r="AI41" i="10"/>
  <c r="AG41" i="10"/>
  <c r="AF41" i="10"/>
  <c r="AE41" i="10"/>
  <c r="AD41" i="10"/>
  <c r="AC41" i="10"/>
  <c r="AB41" i="10"/>
  <c r="W41" i="10"/>
  <c r="V41" i="10"/>
  <c r="P41" i="10"/>
  <c r="O41" i="10"/>
  <c r="AI40" i="10"/>
  <c r="AG40" i="10"/>
  <c r="AF40" i="10"/>
  <c r="AE40" i="10"/>
  <c r="AD40" i="10"/>
  <c r="AC40" i="10"/>
  <c r="AB40" i="10"/>
  <c r="W40" i="10"/>
  <c r="V40" i="10"/>
  <c r="P40" i="10"/>
  <c r="O40" i="10"/>
  <c r="AI39" i="10"/>
  <c r="AG39" i="10"/>
  <c r="AF39" i="10"/>
  <c r="AE39" i="10"/>
  <c r="AD39" i="10"/>
  <c r="AC39" i="10"/>
  <c r="AB39" i="10"/>
  <c r="W39" i="10"/>
  <c r="V39" i="10"/>
  <c r="P39" i="10"/>
  <c r="O39" i="10"/>
  <c r="AI38" i="10"/>
  <c r="AG38" i="10"/>
  <c r="AF38" i="10"/>
  <c r="AE38" i="10"/>
  <c r="AD38" i="10"/>
  <c r="AC38" i="10"/>
  <c r="AB38" i="10"/>
  <c r="W38" i="10"/>
  <c r="V38" i="10"/>
  <c r="P38" i="10"/>
  <c r="O38" i="10"/>
  <c r="AI37" i="10"/>
  <c r="AH37" i="10"/>
  <c r="AF37" i="10"/>
  <c r="AE37" i="10"/>
  <c r="AD37" i="10"/>
  <c r="AC37" i="10"/>
  <c r="AB37" i="10"/>
  <c r="W37" i="10"/>
  <c r="V37" i="10"/>
  <c r="P37" i="10"/>
  <c r="O37" i="10"/>
  <c r="AI36" i="10"/>
  <c r="AH36" i="10"/>
  <c r="AF36" i="10"/>
  <c r="AE36" i="10"/>
  <c r="AD36" i="10"/>
  <c r="AC36" i="10"/>
  <c r="AB36" i="10"/>
  <c r="W36" i="10"/>
  <c r="V36" i="10"/>
  <c r="P36" i="10"/>
  <c r="O36" i="10"/>
  <c r="AG36" i="10"/>
  <c r="AI35" i="10"/>
  <c r="AG35" i="10"/>
  <c r="AF35" i="10"/>
  <c r="AE35" i="10"/>
  <c r="AD35" i="10"/>
  <c r="AC35" i="10"/>
  <c r="AB35" i="10"/>
  <c r="W35" i="10"/>
  <c r="V35" i="10"/>
  <c r="P35" i="10"/>
  <c r="O35" i="10"/>
  <c r="AI34" i="10"/>
  <c r="AH34" i="10"/>
  <c r="AF34" i="10"/>
  <c r="AE34" i="10"/>
  <c r="AD34" i="10"/>
  <c r="AC34" i="10"/>
  <c r="AB34" i="10"/>
  <c r="W34" i="10"/>
  <c r="V34" i="10"/>
  <c r="P34" i="10"/>
  <c r="O34" i="10"/>
  <c r="AG34" i="10"/>
  <c r="AI33" i="10"/>
  <c r="AG33" i="10"/>
  <c r="AF33" i="10"/>
  <c r="AE33" i="10"/>
  <c r="AD33" i="10"/>
  <c r="AC33" i="10"/>
  <c r="AB33" i="10"/>
  <c r="W33" i="10"/>
  <c r="V33" i="10"/>
  <c r="P33" i="10"/>
  <c r="O33" i="10"/>
  <c r="AI32" i="10"/>
  <c r="AG32" i="10"/>
  <c r="AF32" i="10"/>
  <c r="AE32" i="10"/>
  <c r="AD32" i="10"/>
  <c r="AC32" i="10"/>
  <c r="AB32" i="10"/>
  <c r="W32" i="10"/>
  <c r="V32" i="10"/>
  <c r="P32" i="10"/>
  <c r="O32" i="10"/>
  <c r="AI31" i="10"/>
  <c r="AG31" i="10"/>
  <c r="AF31" i="10"/>
  <c r="AE31" i="10"/>
  <c r="AD31" i="10"/>
  <c r="AC31" i="10"/>
  <c r="AB31" i="10"/>
  <c r="W31" i="10"/>
  <c r="V31" i="10"/>
  <c r="P31" i="10"/>
  <c r="O31" i="10"/>
  <c r="AI30" i="10"/>
  <c r="AG30" i="10"/>
  <c r="AF30" i="10"/>
  <c r="AE30" i="10"/>
  <c r="AD30" i="10"/>
  <c r="AC30" i="10"/>
  <c r="AB30" i="10"/>
  <c r="W30" i="10"/>
  <c r="V30" i="10"/>
  <c r="P30" i="10"/>
  <c r="O30" i="10"/>
  <c r="AI29" i="10"/>
  <c r="AG29" i="10"/>
  <c r="AF29" i="10"/>
  <c r="AE29" i="10"/>
  <c r="AD29" i="10"/>
  <c r="AC29" i="10"/>
  <c r="AB29" i="10"/>
  <c r="W29" i="10"/>
  <c r="V29" i="10"/>
  <c r="P29" i="10"/>
  <c r="O29" i="10"/>
  <c r="AI28" i="10"/>
  <c r="AG28" i="10"/>
  <c r="AF28" i="10"/>
  <c r="AE28" i="10"/>
  <c r="AD28" i="10"/>
  <c r="AC28" i="10"/>
  <c r="AB28" i="10"/>
  <c r="W28" i="10"/>
  <c r="V28" i="10"/>
  <c r="P28" i="10"/>
  <c r="O28" i="10"/>
  <c r="AI27" i="10"/>
  <c r="AH27" i="10"/>
  <c r="AF27" i="10"/>
  <c r="AE27" i="10"/>
  <c r="AD27" i="10"/>
  <c r="AC27" i="10"/>
  <c r="AB27" i="10"/>
  <c r="W27" i="10"/>
  <c r="V27" i="10"/>
  <c r="P27" i="10"/>
  <c r="O27" i="10"/>
  <c r="AI26" i="10"/>
  <c r="AH26" i="10"/>
  <c r="AF26" i="10"/>
  <c r="AE26" i="10"/>
  <c r="AD26" i="10"/>
  <c r="AC26" i="10"/>
  <c r="AB26" i="10"/>
  <c r="W26" i="10"/>
  <c r="V26" i="10"/>
  <c r="P26" i="10"/>
  <c r="O26" i="10"/>
  <c r="AI25" i="10"/>
  <c r="AH25" i="10"/>
  <c r="AF25" i="10"/>
  <c r="AE25" i="10"/>
  <c r="AD25" i="10"/>
  <c r="AC25" i="10"/>
  <c r="AB25" i="10"/>
  <c r="W25" i="10"/>
  <c r="V25" i="10"/>
  <c r="P25" i="10"/>
  <c r="O25" i="10"/>
  <c r="AI24" i="10"/>
  <c r="AH24" i="10"/>
  <c r="AF24" i="10"/>
  <c r="AE24" i="10"/>
  <c r="AD24" i="10"/>
  <c r="AC24" i="10"/>
  <c r="AB24" i="10"/>
  <c r="W24" i="10"/>
  <c r="V24" i="10"/>
  <c r="P24" i="10"/>
  <c r="O24" i="10"/>
  <c r="AI23" i="10"/>
  <c r="AH23" i="10"/>
  <c r="AF23" i="10"/>
  <c r="AE23" i="10"/>
  <c r="AD23" i="10"/>
  <c r="AC23" i="10"/>
  <c r="AB23" i="10"/>
  <c r="W23" i="10"/>
  <c r="V23" i="10"/>
  <c r="P23" i="10"/>
  <c r="O23" i="10"/>
  <c r="AI22" i="10"/>
  <c r="AH22" i="10"/>
  <c r="AF22" i="10"/>
  <c r="AE22" i="10"/>
  <c r="AD22" i="10"/>
  <c r="AC22" i="10"/>
  <c r="AB22" i="10"/>
  <c r="W22" i="10"/>
  <c r="V22" i="10"/>
  <c r="P22" i="10"/>
  <c r="O22" i="10"/>
  <c r="AI21" i="10"/>
  <c r="AH21" i="10"/>
  <c r="AF21" i="10"/>
  <c r="AE21" i="10"/>
  <c r="AD21" i="10"/>
  <c r="AC21" i="10"/>
  <c r="AB21" i="10"/>
  <c r="W21" i="10"/>
  <c r="V21" i="10"/>
  <c r="P21" i="10"/>
  <c r="O21" i="10"/>
  <c r="AG21" i="10"/>
  <c r="AI20" i="10"/>
  <c r="AH20" i="10"/>
  <c r="AF20" i="10"/>
  <c r="AE20" i="10"/>
  <c r="AD20" i="10"/>
  <c r="AC20" i="10"/>
  <c r="AB20" i="10"/>
  <c r="W20" i="10"/>
  <c r="V20" i="10"/>
  <c r="P20" i="10"/>
  <c r="O20" i="10"/>
  <c r="AI19" i="10"/>
  <c r="AG19" i="10"/>
  <c r="AF19" i="10"/>
  <c r="AE19" i="10"/>
  <c r="AD19" i="10"/>
  <c r="AC19" i="10"/>
  <c r="AB19" i="10"/>
  <c r="W19" i="10"/>
  <c r="V19" i="10"/>
  <c r="P19" i="10"/>
  <c r="O19" i="10"/>
  <c r="AI18" i="10"/>
  <c r="AG18" i="10"/>
  <c r="AF18" i="10"/>
  <c r="AE18" i="10"/>
  <c r="AD18" i="10"/>
  <c r="AC18" i="10"/>
  <c r="AB18" i="10"/>
  <c r="W18" i="10"/>
  <c r="V18" i="10"/>
  <c r="P18" i="10"/>
  <c r="O18" i="10"/>
  <c r="AI17" i="10"/>
  <c r="AH17" i="10"/>
  <c r="AF17" i="10"/>
  <c r="AE17" i="10"/>
  <c r="AD17" i="10"/>
  <c r="AC17" i="10"/>
  <c r="AB17" i="10"/>
  <c r="W17" i="10"/>
  <c r="V17" i="10"/>
  <c r="P17" i="10"/>
  <c r="O17" i="10"/>
  <c r="AI16" i="10"/>
  <c r="AG16" i="10"/>
  <c r="AF16" i="10"/>
  <c r="AE16" i="10"/>
  <c r="AD16" i="10"/>
  <c r="AC16" i="10"/>
  <c r="AB16" i="10"/>
  <c r="W16" i="10"/>
  <c r="V16" i="10"/>
  <c r="P16" i="10"/>
  <c r="O16" i="10"/>
  <c r="AI15" i="10"/>
  <c r="AG15" i="10"/>
  <c r="AF15" i="10"/>
  <c r="AE15" i="10"/>
  <c r="AD15" i="10"/>
  <c r="AC15" i="10"/>
  <c r="AB15" i="10"/>
  <c r="V15" i="10"/>
  <c r="O15" i="10"/>
  <c r="AH14" i="10"/>
  <c r="AG14" i="10"/>
  <c r="AF14" i="10"/>
  <c r="AE14" i="10"/>
  <c r="AD14" i="10"/>
  <c r="AB14" i="10"/>
  <c r="V14" i="10"/>
  <c r="O14" i="10"/>
  <c r="AH13" i="10"/>
  <c r="AG13" i="10"/>
  <c r="AF13" i="10"/>
  <c r="AE13" i="10"/>
  <c r="AD13" i="10"/>
  <c r="AB13" i="10"/>
  <c r="V13" i="10"/>
  <c r="O13" i="10"/>
  <c r="AH12" i="10"/>
  <c r="AG12" i="10"/>
  <c r="AF12" i="10"/>
  <c r="AE12" i="10"/>
  <c r="AD12" i="10"/>
  <c r="AB12" i="10"/>
  <c r="V12" i="10"/>
  <c r="O12" i="10"/>
  <c r="AH11" i="10"/>
  <c r="AG11" i="10"/>
  <c r="AF11" i="10"/>
  <c r="AE11" i="10"/>
  <c r="AD11" i="10"/>
  <c r="AB11" i="10"/>
  <c r="AC11" i="10" s="1"/>
  <c r="V11" i="10"/>
  <c r="O11" i="10"/>
  <c r="AH10" i="10"/>
  <c r="AG10" i="10"/>
  <c r="AF10" i="10"/>
  <c r="AE10" i="10"/>
  <c r="AD10" i="10"/>
  <c r="AB10" i="10"/>
  <c r="V10" i="10"/>
  <c r="O10" i="10"/>
  <c r="AH9" i="10"/>
  <c r="AG9" i="10"/>
  <c r="AF9" i="10"/>
  <c r="AE9" i="10"/>
  <c r="AD9" i="10"/>
  <c r="AB9" i="10"/>
  <c r="V9" i="10"/>
  <c r="O9" i="10"/>
  <c r="AH8" i="10"/>
  <c r="AG8" i="10"/>
  <c r="AF8" i="10"/>
  <c r="AE8" i="10"/>
  <c r="AD8" i="10"/>
  <c r="AC8" i="10"/>
  <c r="AB8" i="10"/>
  <c r="W8" i="10"/>
  <c r="V8" i="10"/>
  <c r="P8" i="10"/>
  <c r="O8" i="10"/>
  <c r="AI7" i="10"/>
  <c r="AG7" i="10"/>
  <c r="AF7" i="10"/>
  <c r="AE7" i="10"/>
  <c r="AD7" i="10"/>
  <c r="AC7" i="10"/>
  <c r="AB7" i="10"/>
  <c r="V7" i="10"/>
  <c r="O7" i="10"/>
  <c r="AI6" i="10"/>
  <c r="AG6" i="10"/>
  <c r="AF6" i="10"/>
  <c r="AE6" i="10"/>
  <c r="AD6" i="10"/>
  <c r="AC6" i="10"/>
  <c r="AB6" i="10"/>
  <c r="V6" i="10"/>
  <c r="W6" i="10" s="1"/>
  <c r="O6" i="10"/>
  <c r="AI5" i="10"/>
  <c r="AG5" i="10"/>
  <c r="AF5" i="10"/>
  <c r="AE5" i="10"/>
  <c r="AD5" i="10"/>
  <c r="AC5" i="10"/>
  <c r="AB5" i="10"/>
  <c r="V5" i="10"/>
  <c r="O5" i="10"/>
  <c r="AI4" i="10"/>
  <c r="AG4" i="10"/>
  <c r="AF4" i="10"/>
  <c r="AE4" i="10"/>
  <c r="AD4" i="10"/>
  <c r="AC4" i="10"/>
  <c r="AB4" i="10"/>
  <c r="V4" i="10"/>
  <c r="O4" i="10"/>
  <c r="AH3" i="10"/>
  <c r="AG3" i="10"/>
  <c r="AF3" i="10"/>
  <c r="AE3" i="10"/>
  <c r="AD3" i="10"/>
  <c r="AC3" i="10"/>
  <c r="AB3" i="10"/>
  <c r="W3" i="10"/>
  <c r="V3" i="10"/>
  <c r="P3" i="10"/>
  <c r="O3" i="10"/>
  <c r="AI2" i="10"/>
  <c r="AG2" i="10"/>
  <c r="AF2" i="10"/>
  <c r="AE2" i="10"/>
  <c r="AD2" i="10"/>
  <c r="AC2" i="10"/>
  <c r="AB2" i="10"/>
  <c r="V2" i="10"/>
  <c r="W2" i="10" s="1"/>
  <c r="O2" i="10"/>
  <c r="Y33" i="3"/>
  <c r="Y32" i="3"/>
  <c r="Y31" i="3"/>
  <c r="Y30" i="3"/>
  <c r="Y29" i="3"/>
  <c r="Y28" i="3"/>
  <c r="Y27" i="3"/>
  <c r="Y26" i="3"/>
  <c r="Y25" i="3"/>
  <c r="Y24" i="3"/>
  <c r="Y23" i="3"/>
  <c r="Y22" i="3"/>
  <c r="Y21" i="3"/>
  <c r="Y20" i="3"/>
  <c r="Y19" i="3"/>
  <c r="Y18" i="3"/>
  <c r="Y17" i="3"/>
  <c r="Y16" i="3"/>
  <c r="Y15" i="3"/>
  <c r="Y14" i="3"/>
  <c r="Y13" i="3"/>
  <c r="Y12" i="3"/>
  <c r="Y11" i="3"/>
  <c r="Y10" i="3"/>
  <c r="Y9" i="3"/>
  <c r="Y8" i="3"/>
  <c r="Y7" i="3"/>
  <c r="Y6" i="3"/>
  <c r="Y5" i="3"/>
  <c r="Y4" i="3"/>
  <c r="Y3" i="3"/>
  <c r="Y2" i="3"/>
  <c r="AH144" i="10" l="1"/>
  <c r="P81" i="10"/>
  <c r="AH149" i="10"/>
  <c r="AI206" i="10"/>
  <c r="W81" i="10"/>
  <c r="W104" i="10"/>
  <c r="W125" i="10"/>
  <c r="W5" i="10"/>
  <c r="W102" i="10"/>
  <c r="AH29" i="10"/>
  <c r="AI65" i="10"/>
  <c r="P152" i="10"/>
  <c r="P73" i="10"/>
  <c r="W117" i="10"/>
  <c r="W103" i="10"/>
  <c r="AC142" i="10"/>
  <c r="P2" i="10"/>
  <c r="P112" i="10"/>
  <c r="P132" i="10"/>
  <c r="AC105" i="10"/>
  <c r="W124" i="10"/>
  <c r="P171" i="10"/>
  <c r="P151" i="10"/>
  <c r="AH71" i="10"/>
  <c r="H71" i="10" s="1"/>
  <c r="AH31" i="10"/>
  <c r="H31" i="10" s="1"/>
  <c r="P11" i="10"/>
  <c r="W148" i="10"/>
  <c r="AC13" i="10"/>
  <c r="W108" i="10"/>
  <c r="AH32" i="10"/>
  <c r="H32" i="10" s="1"/>
  <c r="G201" i="10"/>
  <c r="W73" i="10"/>
  <c r="G206" i="10"/>
  <c r="P7" i="10"/>
  <c r="W12" i="10"/>
  <c r="P150" i="10"/>
  <c r="P110" i="10"/>
  <c r="G3" i="10"/>
  <c r="G200" i="10"/>
  <c r="G53" i="10"/>
  <c r="P125" i="10"/>
  <c r="W110" i="10"/>
  <c r="G131" i="10"/>
  <c r="P108" i="10"/>
  <c r="G142" i="10"/>
  <c r="AH202" i="10"/>
  <c r="H202" i="10" s="1"/>
  <c r="G2" i="10"/>
  <c r="G8" i="10"/>
  <c r="G88" i="10"/>
  <c r="G112" i="10"/>
  <c r="G205" i="10"/>
  <c r="G163" i="10"/>
  <c r="G176" i="10"/>
  <c r="G198" i="10"/>
  <c r="P131" i="10"/>
  <c r="P123" i="10"/>
  <c r="G146" i="10"/>
  <c r="W113" i="10"/>
  <c r="G6" i="10"/>
  <c r="G54" i="10"/>
  <c r="P6" i="10"/>
  <c r="AC56" i="10"/>
  <c r="G73" i="10"/>
  <c r="G114" i="10"/>
  <c r="W150" i="10"/>
  <c r="W70" i="10"/>
  <c r="G49" i="10"/>
  <c r="G168" i="10"/>
  <c r="P142" i="10"/>
  <c r="AH167" i="10"/>
  <c r="H167" i="10" s="1"/>
  <c r="AI12" i="10"/>
  <c r="H12" i="10" s="1"/>
  <c r="G51" i="10"/>
  <c r="P139" i="10"/>
  <c r="AC59" i="10"/>
  <c r="G37" i="10"/>
  <c r="G180" i="10"/>
  <c r="G113" i="10"/>
  <c r="G20" i="10"/>
  <c r="G119" i="10"/>
  <c r="G167" i="10"/>
  <c r="G32" i="10"/>
  <c r="G41" i="10"/>
  <c r="G204" i="10"/>
  <c r="G40" i="10"/>
  <c r="G95" i="10"/>
  <c r="G109" i="10"/>
  <c r="G132" i="10"/>
  <c r="G179" i="10"/>
  <c r="G197" i="10"/>
  <c r="AC138" i="10"/>
  <c r="G147" i="10"/>
  <c r="G177" i="10"/>
  <c r="G199" i="10"/>
  <c r="G97" i="10"/>
  <c r="AC12" i="10"/>
  <c r="G121" i="10"/>
  <c r="G143" i="10"/>
  <c r="G12" i="10"/>
  <c r="G71" i="10"/>
  <c r="G81" i="10"/>
  <c r="G106" i="10"/>
  <c r="G141" i="10"/>
  <c r="G192" i="10"/>
  <c r="G39" i="10"/>
  <c r="G92" i="10"/>
  <c r="G75" i="10"/>
  <c r="G139" i="10"/>
  <c r="G203" i="10"/>
  <c r="P59" i="10"/>
  <c r="G100" i="10"/>
  <c r="G133" i="10"/>
  <c r="G137" i="10"/>
  <c r="W160" i="10"/>
  <c r="G74" i="10"/>
  <c r="W139" i="10"/>
  <c r="G89" i="10"/>
  <c r="G122" i="10"/>
  <c r="G80" i="10"/>
  <c r="G91" i="10"/>
  <c r="AH197" i="10"/>
  <c r="H197" i="10" s="1"/>
  <c r="H36" i="10"/>
  <c r="H168" i="10"/>
  <c r="AH199" i="10"/>
  <c r="H199" i="10" s="1"/>
  <c r="AH200" i="10"/>
  <c r="H200" i="10" s="1"/>
  <c r="AH78" i="10"/>
  <c r="H78" i="10" s="1"/>
  <c r="AI58" i="10"/>
  <c r="H58" i="10" s="1"/>
  <c r="W79" i="10"/>
  <c r="AH127" i="10"/>
  <c r="H127" i="10" s="1"/>
  <c r="H26" i="10"/>
  <c r="P79" i="10"/>
  <c r="G23" i="10"/>
  <c r="AH49" i="10"/>
  <c r="H49" i="10" s="1"/>
  <c r="G79" i="10"/>
  <c r="G124" i="10"/>
  <c r="AI138" i="10"/>
  <c r="H138" i="10" s="1"/>
  <c r="G160" i="10"/>
  <c r="G11" i="10"/>
  <c r="W13" i="10"/>
  <c r="G47" i="10"/>
  <c r="W60" i="10"/>
  <c r="P140" i="10"/>
  <c r="AH151" i="10"/>
  <c r="H151" i="10" s="1"/>
  <c r="G172" i="10"/>
  <c r="G182" i="10"/>
  <c r="AH5" i="10"/>
  <c r="H5" i="10" s="1"/>
  <c r="W15" i="10"/>
  <c r="G185" i="10"/>
  <c r="P10" i="10"/>
  <c r="G19" i="10"/>
  <c r="W55" i="10"/>
  <c r="G99" i="10"/>
  <c r="G153" i="10"/>
  <c r="G162" i="10"/>
  <c r="G175" i="10"/>
  <c r="G178" i="10"/>
  <c r="AH180" i="10"/>
  <c r="H180" i="10" s="1"/>
  <c r="P161" i="10"/>
  <c r="G188" i="10"/>
  <c r="W10" i="10"/>
  <c r="AC55" i="10"/>
  <c r="G60" i="10"/>
  <c r="H68" i="10"/>
  <c r="G72" i="10"/>
  <c r="W74" i="10"/>
  <c r="AC103" i="10"/>
  <c r="W105" i="10"/>
  <c r="G46" i="10"/>
  <c r="G140" i="10"/>
  <c r="G191" i="10"/>
  <c r="G101" i="10"/>
  <c r="G103" i="10"/>
  <c r="G120" i="10"/>
  <c r="G123" i="10"/>
  <c r="W131" i="10"/>
  <c r="G135" i="10"/>
  <c r="W144" i="10"/>
  <c r="W149" i="10"/>
  <c r="G156" i="10"/>
  <c r="G159" i="10"/>
  <c r="G171" i="10"/>
  <c r="G181" i="10"/>
  <c r="AH186" i="10"/>
  <c r="H186" i="10" s="1"/>
  <c r="W71" i="10"/>
  <c r="AI173" i="10"/>
  <c r="H173" i="10" s="1"/>
  <c r="G55" i="10"/>
  <c r="G111" i="10"/>
  <c r="G152" i="10"/>
  <c r="AH30" i="10"/>
  <c r="H30" i="10" s="1"/>
  <c r="G28" i="10"/>
  <c r="G52" i="10"/>
  <c r="P54" i="10"/>
  <c r="G57" i="10"/>
  <c r="P61" i="10"/>
  <c r="G63" i="10"/>
  <c r="W100" i="10"/>
  <c r="P102" i="10"/>
  <c r="AH133" i="10"/>
  <c r="H133" i="10" s="1"/>
  <c r="AH171" i="10"/>
  <c r="H171" i="10" s="1"/>
  <c r="W14" i="10"/>
  <c r="AH86" i="10"/>
  <c r="H86" i="10" s="1"/>
  <c r="G94" i="10"/>
  <c r="P104" i="10"/>
  <c r="P124" i="10"/>
  <c r="AH130" i="10"/>
  <c r="H130" i="10" s="1"/>
  <c r="G161" i="10"/>
  <c r="P172" i="10"/>
  <c r="G21" i="10"/>
  <c r="AC14" i="10"/>
  <c r="G24" i="10"/>
  <c r="G31" i="10"/>
  <c r="G59" i="10"/>
  <c r="G134" i="10"/>
  <c r="G155" i="10"/>
  <c r="W130" i="10"/>
  <c r="G173" i="10"/>
  <c r="G183" i="10"/>
  <c r="AC102" i="10"/>
  <c r="P106" i="10"/>
  <c r="G61" i="10"/>
  <c r="AH106" i="10"/>
  <c r="H106" i="10" s="1"/>
  <c r="W112" i="10"/>
  <c r="AC141" i="10"/>
  <c r="P178" i="10"/>
  <c r="G186" i="10"/>
  <c r="G34" i="10"/>
  <c r="G151" i="10"/>
  <c r="G154" i="10"/>
  <c r="G166" i="10"/>
  <c r="P58" i="10"/>
  <c r="G17" i="10"/>
  <c r="G44" i="10"/>
  <c r="G56" i="10"/>
  <c r="AC58" i="10"/>
  <c r="P60" i="10"/>
  <c r="P72" i="10"/>
  <c r="G86" i="10"/>
  <c r="AH92" i="10"/>
  <c r="H92" i="10" s="1"/>
  <c r="G93" i="10"/>
  <c r="G115" i="10"/>
  <c r="P117" i="10"/>
  <c r="H129" i="10"/>
  <c r="P138" i="10"/>
  <c r="H159" i="10"/>
  <c r="G33" i="10"/>
  <c r="G85" i="10"/>
  <c r="G7" i="10"/>
  <c r="P14" i="10"/>
  <c r="AH38" i="10"/>
  <c r="H38" i="10" s="1"/>
  <c r="W58" i="10"/>
  <c r="W61" i="10"/>
  <c r="G66" i="10"/>
  <c r="G78" i="10"/>
  <c r="AH94" i="10"/>
  <c r="H94" i="10" s="1"/>
  <c r="G96" i="10"/>
  <c r="G104" i="10"/>
  <c r="P115" i="10"/>
  <c r="G126" i="10"/>
  <c r="W138" i="10"/>
  <c r="W162" i="10"/>
  <c r="G25" i="10"/>
  <c r="G36" i="10"/>
  <c r="AH158" i="10"/>
  <c r="H158" i="10" s="1"/>
  <c r="G202" i="10"/>
  <c r="AI3" i="10"/>
  <c r="H3" i="10" s="1"/>
  <c r="G4" i="10"/>
  <c r="W9" i="10"/>
  <c r="G18" i="10"/>
  <c r="G43" i="10"/>
  <c r="G50" i="10"/>
  <c r="P55" i="10"/>
  <c r="AI67" i="10"/>
  <c r="H67" i="10" s="1"/>
  <c r="G68" i="10"/>
  <c r="P70" i="10"/>
  <c r="AH83" i="10"/>
  <c r="H83" i="10" s="1"/>
  <c r="G110" i="10"/>
  <c r="W115" i="10"/>
  <c r="W143" i="10"/>
  <c r="G149" i="10"/>
  <c r="G187" i="10"/>
  <c r="G194" i="10"/>
  <c r="AH16" i="10"/>
  <c r="H16" i="10" s="1"/>
  <c r="AI103" i="10"/>
  <c r="H103" i="10" s="1"/>
  <c r="G116" i="10"/>
  <c r="G129" i="10"/>
  <c r="G136" i="10"/>
  <c r="AC143" i="10"/>
  <c r="G169" i="10"/>
  <c r="AH204" i="10"/>
  <c r="H204" i="10" s="1"/>
  <c r="H149" i="10"/>
  <c r="AI174" i="10"/>
  <c r="H174" i="10" s="1"/>
  <c r="P5" i="10"/>
  <c r="G9" i="10"/>
  <c r="W11" i="10"/>
  <c r="G77" i="10"/>
  <c r="G84" i="10"/>
  <c r="P145" i="10"/>
  <c r="G165" i="10"/>
  <c r="W171" i="10"/>
  <c r="AH192" i="10"/>
  <c r="H192" i="10" s="1"/>
  <c r="AH203" i="10"/>
  <c r="H203" i="10" s="1"/>
  <c r="G14" i="10"/>
  <c r="AH19" i="10"/>
  <c r="H19" i="10" s="1"/>
  <c r="AI48" i="10"/>
  <c r="H48" i="10" s="1"/>
  <c r="H51" i="10"/>
  <c r="P57" i="10"/>
  <c r="G58" i="10"/>
  <c r="G65" i="10"/>
  <c r="AI90" i="10"/>
  <c r="H90" i="10" s="1"/>
  <c r="P111" i="10"/>
  <c r="G125" i="10"/>
  <c r="P137" i="10"/>
  <c r="G138" i="10"/>
  <c r="W140" i="10"/>
  <c r="G190" i="10"/>
  <c r="G87" i="10"/>
  <c r="AI100" i="10"/>
  <c r="H100" i="10" s="1"/>
  <c r="AH114" i="10"/>
  <c r="H114" i="10" s="1"/>
  <c r="AH170" i="10"/>
  <c r="H170" i="10" s="1"/>
  <c r="AI188" i="10"/>
  <c r="H188" i="10" s="1"/>
  <c r="AI189" i="10"/>
  <c r="H189" i="10" s="1"/>
  <c r="AH195" i="10"/>
  <c r="H195" i="10" s="1"/>
  <c r="P13" i="10"/>
  <c r="G42" i="10"/>
  <c r="W57" i="10"/>
  <c r="G67" i="10"/>
  <c r="P75" i="10"/>
  <c r="G98" i="10"/>
  <c r="G128" i="10"/>
  <c r="W137" i="10"/>
  <c r="AC140" i="10"/>
  <c r="G148" i="10"/>
  <c r="G193" i="10"/>
  <c r="W142" i="10"/>
  <c r="P147" i="10"/>
  <c r="H153" i="10"/>
  <c r="P177" i="10"/>
  <c r="AH33" i="10"/>
  <c r="H33" i="10" s="1"/>
  <c r="G45" i="10"/>
  <c r="G76" i="10"/>
  <c r="W114" i="10"/>
  <c r="G118" i="10"/>
  <c r="AH184" i="10"/>
  <c r="H184" i="10" s="1"/>
  <c r="H22" i="10"/>
  <c r="G27" i="10"/>
  <c r="P15" i="10"/>
  <c r="AH18" i="10"/>
  <c r="H18" i="10" s="1"/>
  <c r="G38" i="10"/>
  <c r="H50" i="10"/>
  <c r="G70" i="10"/>
  <c r="W72" i="10"/>
  <c r="G83" i="10"/>
  <c r="G90" i="10"/>
  <c r="AC100" i="10"/>
  <c r="AH110" i="10"/>
  <c r="H110" i="10" s="1"/>
  <c r="AH112" i="10"/>
  <c r="H112" i="10" s="1"/>
  <c r="AC137" i="10"/>
  <c r="AH163" i="10"/>
  <c r="H163" i="10" s="1"/>
  <c r="G164" i="10"/>
  <c r="G189" i="10"/>
  <c r="G35" i="10"/>
  <c r="G48" i="10"/>
  <c r="G64" i="10"/>
  <c r="H99" i="10"/>
  <c r="G105" i="10"/>
  <c r="AH107" i="10"/>
  <c r="H107" i="10" s="1"/>
  <c r="G108" i="10"/>
  <c r="AH136" i="10"/>
  <c r="H136" i="10" s="1"/>
  <c r="G145" i="10"/>
  <c r="G158" i="10"/>
  <c r="P160" i="10"/>
  <c r="G196" i="10"/>
  <c r="W54" i="10"/>
  <c r="AI156" i="10"/>
  <c r="H156" i="10" s="1"/>
  <c r="G30" i="10"/>
  <c r="AI59" i="10"/>
  <c r="H59" i="10" s="1"/>
  <c r="G62" i="10"/>
  <c r="G127" i="10"/>
  <c r="P149" i="10"/>
  <c r="W163" i="10"/>
  <c r="G174" i="10"/>
  <c r="AI10" i="10"/>
  <c r="H10" i="10" s="1"/>
  <c r="P12" i="10"/>
  <c r="G13" i="10"/>
  <c r="G26" i="10"/>
  <c r="AH28" i="10"/>
  <c r="H28" i="10" s="1"/>
  <c r="H53" i="10"/>
  <c r="P56" i="10"/>
  <c r="P71" i="10"/>
  <c r="AH91" i="10"/>
  <c r="H91" i="10" s="1"/>
  <c r="AI95" i="10"/>
  <c r="H95" i="10" s="1"/>
  <c r="P113" i="10"/>
  <c r="G117" i="10"/>
  <c r="AC139" i="10"/>
  <c r="AH190" i="10"/>
  <c r="H190" i="10" s="1"/>
  <c r="AH205" i="10"/>
  <c r="H205" i="10" s="1"/>
  <c r="AH7" i="10"/>
  <c r="H7" i="10" s="1"/>
  <c r="G5" i="10"/>
  <c r="G16" i="10"/>
  <c r="W4" i="10"/>
  <c r="H17" i="10"/>
  <c r="W56" i="10"/>
  <c r="G69" i="10"/>
  <c r="G82" i="10"/>
  <c r="H98" i="10"/>
  <c r="H109" i="10"/>
  <c r="G130" i="10"/>
  <c r="G150" i="10"/>
  <c r="G157" i="10"/>
  <c r="H179" i="10"/>
  <c r="G102" i="10"/>
  <c r="AC104" i="10"/>
  <c r="G107" i="10"/>
  <c r="W141" i="10"/>
  <c r="G144" i="10"/>
  <c r="W152" i="10"/>
  <c r="P162" i="10"/>
  <c r="G170" i="10"/>
  <c r="G195" i="10"/>
  <c r="G10" i="10"/>
  <c r="G15" i="10"/>
  <c r="G22" i="10"/>
  <c r="G29" i="10"/>
  <c r="AH150" i="10"/>
  <c r="H150" i="10" s="1"/>
  <c r="AI169" i="10"/>
  <c r="H169" i="10" s="1"/>
  <c r="G184" i="10"/>
  <c r="AI8" i="10"/>
  <c r="H8" i="10" s="1"/>
  <c r="AH35" i="10"/>
  <c r="H35" i="10" s="1"/>
  <c r="P130" i="10"/>
  <c r="H145" i="10"/>
  <c r="AH155" i="10"/>
  <c r="H155" i="10" s="1"/>
  <c r="AH165" i="10"/>
  <c r="H165" i="10" s="1"/>
  <c r="AI176" i="10"/>
  <c r="H176" i="10" s="1"/>
  <c r="H20" i="10"/>
  <c r="H97" i="10"/>
  <c r="AH113" i="10"/>
  <c r="H113" i="10" s="1"/>
  <c r="H116" i="10"/>
  <c r="AH120" i="10"/>
  <c r="H120" i="10" s="1"/>
  <c r="AH123" i="10"/>
  <c r="H123" i="10" s="1"/>
  <c r="H206" i="10"/>
  <c r="H198" i="10"/>
  <c r="AH183" i="10"/>
  <c r="H183" i="10" s="1"/>
  <c r="AH187" i="10"/>
  <c r="H187" i="10" s="1"/>
  <c r="AH194" i="10"/>
  <c r="H194" i="10" s="1"/>
  <c r="H27" i="10"/>
  <c r="AH42" i="10"/>
  <c r="H42" i="10" s="1"/>
  <c r="AH119" i="10"/>
  <c r="H119" i="10" s="1"/>
  <c r="H23" i="10"/>
  <c r="AH70" i="10"/>
  <c r="H70" i="10" s="1"/>
  <c r="AC101" i="10"/>
  <c r="P103" i="10"/>
  <c r="W123" i="10"/>
  <c r="AH126" i="10"/>
  <c r="H126" i="10" s="1"/>
  <c r="W151" i="10"/>
  <c r="AC54" i="10"/>
  <c r="AH82" i="10"/>
  <c r="H82" i="10" s="1"/>
  <c r="AH93" i="10"/>
  <c r="H93" i="10" s="1"/>
  <c r="AH111" i="10"/>
  <c r="H111" i="10" s="1"/>
  <c r="AH45" i="10"/>
  <c r="H45" i="10" s="1"/>
  <c r="AH85" i="10"/>
  <c r="H85" i="10" s="1"/>
  <c r="AH131" i="10"/>
  <c r="H131" i="10" s="1"/>
  <c r="H154" i="10"/>
  <c r="AH175" i="10"/>
  <c r="H175" i="10" s="1"/>
  <c r="P179" i="10"/>
  <c r="H87" i="10"/>
  <c r="H164" i="10"/>
  <c r="AH96" i="10"/>
  <c r="H96" i="10" s="1"/>
  <c r="AI105" i="10"/>
  <c r="H105" i="10" s="1"/>
  <c r="AH108" i="10"/>
  <c r="H108" i="10" s="1"/>
  <c r="AH122" i="10"/>
  <c r="H122" i="10" s="1"/>
  <c r="AH125" i="10"/>
  <c r="H125" i="10" s="1"/>
  <c r="AH152" i="10"/>
  <c r="H152" i="10" s="1"/>
  <c r="AH201" i="10"/>
  <c r="H201" i="10" s="1"/>
  <c r="AI9" i="10"/>
  <c r="H9" i="10" s="1"/>
  <c r="H24" i="10"/>
  <c r="AH4" i="10"/>
  <c r="H4" i="10" s="1"/>
  <c r="H69" i="10"/>
  <c r="AH88" i="10"/>
  <c r="H88" i="10" s="1"/>
  <c r="AI89" i="10"/>
  <c r="H89" i="10" s="1"/>
  <c r="P100" i="10"/>
  <c r="H118" i="10"/>
  <c r="P144" i="10"/>
  <c r="AH157" i="10"/>
  <c r="H157" i="10" s="1"/>
  <c r="P164" i="10"/>
  <c r="AH182" i="10"/>
  <c r="H182" i="10" s="1"/>
  <c r="H29" i="10"/>
  <c r="H34" i="10"/>
  <c r="H144" i="10"/>
  <c r="P4" i="10"/>
  <c r="AH41" i="10"/>
  <c r="H41" i="10" s="1"/>
  <c r="H52" i="10"/>
  <c r="AH74" i="10"/>
  <c r="H74" i="10" s="1"/>
  <c r="AH77" i="10"/>
  <c r="H77" i="10" s="1"/>
  <c r="AH81" i="10"/>
  <c r="H81" i="10" s="1"/>
  <c r="P105" i="10"/>
  <c r="AH128" i="10"/>
  <c r="H128" i="10" s="1"/>
  <c r="AH147" i="10"/>
  <c r="H147" i="10" s="1"/>
  <c r="H178" i="10"/>
  <c r="H193" i="10"/>
  <c r="AH44" i="10"/>
  <c r="H44" i="10" s="1"/>
  <c r="AC61" i="10"/>
  <c r="AI64" i="10"/>
  <c r="H64" i="10" s="1"/>
  <c r="H65" i="10"/>
  <c r="AH84" i="10"/>
  <c r="H84" i="10" s="1"/>
  <c r="W161" i="10"/>
  <c r="AH185" i="10"/>
  <c r="H185" i="10" s="1"/>
  <c r="AI196" i="10"/>
  <c r="H196" i="10" s="1"/>
  <c r="AI135" i="10"/>
  <c r="H135" i="10" s="1"/>
  <c r="AH72" i="10"/>
  <c r="H72" i="10" s="1"/>
  <c r="AH121" i="10"/>
  <c r="H121" i="10" s="1"/>
  <c r="AH124" i="10"/>
  <c r="H124" i="10" s="1"/>
  <c r="AH181" i="10"/>
  <c r="H181" i="10" s="1"/>
  <c r="W111" i="10"/>
  <c r="AH117" i="10"/>
  <c r="H117" i="10" s="1"/>
  <c r="AI143" i="10"/>
  <c r="H143" i="10" s="1"/>
  <c r="P146" i="10"/>
  <c r="P163" i="10"/>
  <c r="P9" i="10"/>
  <c r="AI76" i="10"/>
  <c r="H76" i="10" s="1"/>
  <c r="AI13" i="10"/>
  <c r="H13" i="10" s="1"/>
  <c r="H21" i="10"/>
  <c r="AH47" i="10"/>
  <c r="H47" i="10" s="1"/>
  <c r="AH62" i="10"/>
  <c r="H62" i="10" s="1"/>
  <c r="AH73" i="10"/>
  <c r="H73" i="10" s="1"/>
  <c r="P114" i="10"/>
  <c r="P143" i="10"/>
  <c r="AH146" i="10"/>
  <c r="H146" i="10" s="1"/>
  <c r="AH40" i="10"/>
  <c r="H40" i="10" s="1"/>
  <c r="H43" i="10"/>
  <c r="AI63" i="10"/>
  <c r="H63" i="10" s="1"/>
  <c r="AH80" i="10"/>
  <c r="H80" i="10" s="1"/>
  <c r="AI134" i="10"/>
  <c r="H134" i="10" s="1"/>
  <c r="AI139" i="10"/>
  <c r="H139" i="10" s="1"/>
  <c r="AH166" i="10"/>
  <c r="H166" i="10" s="1"/>
  <c r="AH39" i="10"/>
  <c r="H39" i="10" s="1"/>
  <c r="AI46" i="10"/>
  <c r="H46" i="10" s="1"/>
  <c r="AC57" i="10"/>
  <c r="AI66" i="10"/>
  <c r="H66" i="10" s="1"/>
  <c r="AH79" i="10"/>
  <c r="H79" i="10" s="1"/>
  <c r="AI140" i="10"/>
  <c r="H140" i="10" s="1"/>
  <c r="AH148" i="10"/>
  <c r="H148" i="10" s="1"/>
  <c r="AH191" i="10"/>
  <c r="H191" i="10" s="1"/>
  <c r="H37" i="10"/>
  <c r="H25" i="10"/>
  <c r="Q91" i="10" a="1"/>
  <c r="Q91" i="10" s="1"/>
  <c r="Q132" i="10" a="1"/>
  <c r="Q132" i="10" s="1"/>
  <c r="Q12" i="10" a="1"/>
  <c r="Q12" i="10" s="1"/>
  <c r="Q55" i="10" a="1"/>
  <c r="Q55" i="10" s="1"/>
  <c r="Q17" i="10" a="1"/>
  <c r="Q17" i="10" s="1"/>
  <c r="W59" i="10"/>
  <c r="P74" i="10"/>
  <c r="Q153" i="10" s="1" a="1"/>
  <c r="Q153" i="10" s="1"/>
  <c r="AH6" i="10"/>
  <c r="H6" i="10" s="1"/>
  <c r="AI104" i="10"/>
  <c r="H104" i="10" s="1"/>
  <c r="AH2" i="10"/>
  <c r="H2" i="10" s="1"/>
  <c r="AH162" i="10"/>
  <c r="H162" i="10" s="1"/>
  <c r="AI102" i="10"/>
  <c r="H102" i="10" s="1"/>
  <c r="AI142" i="10"/>
  <c r="H142" i="10" s="1"/>
  <c r="P148" i="10"/>
  <c r="Q129" i="10" s="1" a="1"/>
  <c r="Q129" i="10" s="1"/>
  <c r="AH161" i="10"/>
  <c r="H161" i="10" s="1"/>
  <c r="AH60" i="10"/>
  <c r="H60" i="10" s="1"/>
  <c r="AI61" i="10"/>
  <c r="H61" i="10" s="1"/>
  <c r="AI101" i="10"/>
  <c r="H101" i="10" s="1"/>
  <c r="AI141" i="10"/>
  <c r="H141" i="10" s="1"/>
  <c r="AH160" i="10"/>
  <c r="H160" i="10" s="1"/>
  <c r="AI11" i="10"/>
  <c r="H11" i="10" s="1"/>
  <c r="AG177" i="10"/>
  <c r="H177" i="10" s="1"/>
  <c r="AG75" i="10"/>
  <c r="H75" i="10" s="1"/>
  <c r="AI137" i="10"/>
  <c r="H137" i="10" s="1"/>
  <c r="W7" i="10"/>
  <c r="AC10" i="10"/>
  <c r="AH15" i="10"/>
  <c r="H15" i="10" s="1"/>
  <c r="AI56" i="10"/>
  <c r="H56" i="10" s="1"/>
  <c r="AH115" i="10"/>
  <c r="H115" i="10" s="1"/>
  <c r="W147" i="10"/>
  <c r="AC9" i="10"/>
  <c r="AI55" i="10"/>
  <c r="H55" i="10" s="1"/>
  <c r="W106" i="10"/>
  <c r="W146" i="10"/>
  <c r="AI57" i="10"/>
  <c r="H57" i="10" s="1"/>
  <c r="AI14" i="10"/>
  <c r="H14" i="10" s="1"/>
  <c r="AI54" i="10"/>
  <c r="H54" i="10" s="1"/>
  <c r="AG132" i="10"/>
  <c r="H132" i="10" s="1"/>
  <c r="AG172" i="10"/>
  <c r="H172" i="10" s="1"/>
  <c r="Q31" i="10" l="1" a="1"/>
  <c r="Q31" i="10" s="1"/>
  <c r="Q149" i="10" a="1"/>
  <c r="Q149" i="10" s="1"/>
  <c r="Q107" i="10" a="1"/>
  <c r="Q107" i="10" s="1"/>
  <c r="Q165" i="10" a="1"/>
  <c r="Q165" i="10" s="1"/>
  <c r="Q143" i="10" a="1"/>
  <c r="Q143" i="10" s="1"/>
  <c r="Q61" i="10" a="1"/>
  <c r="Q61" i="10" s="1"/>
  <c r="Q179" i="10" a="1"/>
  <c r="Q179" i="10" s="1"/>
  <c r="Q36" i="10" a="1"/>
  <c r="Q36" i="10" s="1"/>
  <c r="Q34" i="10" a="1"/>
  <c r="Q34" i="10" s="1"/>
  <c r="Q173" i="10" a="1"/>
  <c r="Q173" i="10" s="1"/>
  <c r="Q127" i="10" a="1"/>
  <c r="Q127" i="10" s="1"/>
  <c r="Q185" i="10" a="1"/>
  <c r="Q185" i="10" s="1"/>
  <c r="Q163" i="10" a="1"/>
  <c r="Q163" i="10" s="1"/>
  <c r="Q81" i="10" a="1"/>
  <c r="Q81" i="10" s="1"/>
  <c r="Q199" i="10" a="1"/>
  <c r="Q199" i="10" s="1"/>
  <c r="Q56" i="10" a="1"/>
  <c r="Q56" i="10" s="1"/>
  <c r="Q54" i="10" a="1"/>
  <c r="Q54" i="10" s="1"/>
  <c r="Q193" i="10" a="1"/>
  <c r="Q193" i="10" s="1"/>
  <c r="Q169" i="10" a="1"/>
  <c r="Q169" i="10" s="1"/>
  <c r="Q52" i="10" a="1"/>
  <c r="Q52" i="10" s="1"/>
  <c r="Q30" i="10" a="1"/>
  <c r="Q30" i="10" s="1"/>
  <c r="Q189" i="10" a="1"/>
  <c r="Q189" i="10" s="1"/>
  <c r="Q147" i="10" a="1"/>
  <c r="Q147" i="10" s="1"/>
  <c r="Q205" i="10" a="1"/>
  <c r="Q205" i="10" s="1"/>
  <c r="Q183" i="10" a="1"/>
  <c r="Q183" i="10" s="1"/>
  <c r="Q101" i="10" a="1"/>
  <c r="Q101" i="10" s="1"/>
  <c r="Q38" i="10" a="1"/>
  <c r="Q38" i="10" s="1"/>
  <c r="Q76" i="10" a="1"/>
  <c r="Q76" i="10" s="1"/>
  <c r="Q74" i="10" a="1"/>
  <c r="Q74" i="10" s="1"/>
  <c r="Q10" i="10" a="1"/>
  <c r="Q10" i="10" s="1"/>
  <c r="Q50" i="10" a="1"/>
  <c r="Q50" i="10" s="1"/>
  <c r="Q39" i="10" a="1"/>
  <c r="Q39" i="10" s="1"/>
  <c r="Q167" i="10" a="1"/>
  <c r="Q167" i="10" s="1"/>
  <c r="Q24" i="10" a="1"/>
  <c r="Q24" i="10" s="1"/>
  <c r="Q203" i="10" a="1"/>
  <c r="Q203" i="10" s="1"/>
  <c r="Q121" i="10" a="1"/>
  <c r="Q121" i="10" s="1"/>
  <c r="Q98" i="10" a="1"/>
  <c r="Q98" i="10" s="1"/>
  <c r="Q96" i="10" a="1"/>
  <c r="Q96" i="10" s="1"/>
  <c r="Q94" i="10" a="1"/>
  <c r="Q94" i="10" s="1"/>
  <c r="Q72" i="10" a="1"/>
  <c r="Q72" i="10" s="1"/>
  <c r="Q92" i="10" a="1"/>
  <c r="Q92" i="10" s="1"/>
  <c r="Q70" i="10" a="1"/>
  <c r="Q70" i="10" s="1"/>
  <c r="Q8" i="10" a="1"/>
  <c r="Q8" i="10" s="1"/>
  <c r="Q187" i="10" a="1"/>
  <c r="Q187" i="10" s="1"/>
  <c r="Q65" i="10" a="1"/>
  <c r="Q65" i="10" s="1"/>
  <c r="Q5" i="10" a="1"/>
  <c r="Q5" i="10" s="1"/>
  <c r="Q141" i="10" a="1"/>
  <c r="Q141" i="10" s="1"/>
  <c r="Q118" i="10" a="1"/>
  <c r="Q118" i="10" s="1"/>
  <c r="Q116" i="10" a="1"/>
  <c r="Q116" i="10" s="1"/>
  <c r="Q114" i="10" a="1"/>
  <c r="Q114" i="10" s="1"/>
  <c r="Q32" i="10" a="1"/>
  <c r="Q32" i="10" s="1"/>
  <c r="Q112" i="10" a="1"/>
  <c r="Q112" i="10" s="1"/>
  <c r="Q90" i="10" a="1"/>
  <c r="Q90" i="10" s="1"/>
  <c r="Q48" i="10" a="1"/>
  <c r="Q48" i="10" s="1"/>
  <c r="Q26" i="10" a="1"/>
  <c r="Q26" i="10" s="1"/>
  <c r="Q84" i="10" a="1"/>
  <c r="Q84" i="10" s="1"/>
  <c r="Q4" i="10" a="1"/>
  <c r="Q4" i="10" s="1"/>
  <c r="Q161" i="10" a="1"/>
  <c r="Q161" i="10" s="1"/>
  <c r="Q138" i="10" a="1"/>
  <c r="Q138" i="10" s="1"/>
  <c r="Q136" i="10" a="1"/>
  <c r="Q136" i="10" s="1"/>
  <c r="Q134" i="10" a="1"/>
  <c r="Q134" i="10" s="1"/>
  <c r="Q46" i="10" a="1"/>
  <c r="Q46" i="10" s="1"/>
  <c r="Q104" i="10" a="1"/>
  <c r="Q104" i="10" s="1"/>
  <c r="Q2" i="10" a="1"/>
  <c r="Q2" i="10" s="1"/>
  <c r="Q181" i="10" a="1"/>
  <c r="Q181" i="10" s="1"/>
  <c r="Q158" i="10" a="1"/>
  <c r="Q158" i="10" s="1"/>
  <c r="Q156" i="10" a="1"/>
  <c r="Q156" i="10" s="1"/>
  <c r="Q154" i="10" a="1"/>
  <c r="Q154" i="10" s="1"/>
  <c r="Q62" i="10" a="1"/>
  <c r="Q62" i="10" s="1"/>
  <c r="Q124" i="10" a="1"/>
  <c r="Q124" i="10" s="1"/>
  <c r="Q22" i="10" a="1"/>
  <c r="Q22" i="10" s="1"/>
  <c r="Q201" i="10" a="1"/>
  <c r="Q201" i="10" s="1"/>
  <c r="Q178" i="10" a="1"/>
  <c r="Q178" i="10" s="1"/>
  <c r="Q176" i="10" a="1"/>
  <c r="Q176" i="10" s="1"/>
  <c r="Q174" i="10" a="1"/>
  <c r="Q174" i="10" s="1"/>
  <c r="Q152" i="10" a="1"/>
  <c r="Q152" i="10" s="1"/>
  <c r="Q172" i="10" a="1"/>
  <c r="Q172" i="10" s="1"/>
  <c r="Q150" i="10" a="1"/>
  <c r="Q150" i="10" s="1"/>
  <c r="Q108" i="10" a="1"/>
  <c r="Q108" i="10" s="1"/>
  <c r="Q86" i="10" a="1"/>
  <c r="Q86" i="10" s="1"/>
  <c r="Q144" i="10" a="1"/>
  <c r="Q144" i="10" s="1"/>
  <c r="Q42" i="10" a="1"/>
  <c r="Q42" i="10" s="1"/>
  <c r="Q80" i="10" a="1"/>
  <c r="Q80" i="10" s="1"/>
  <c r="Q198" i="10" a="1"/>
  <c r="Q198" i="10" s="1"/>
  <c r="Q196" i="10" a="1"/>
  <c r="Q196" i="10" s="1"/>
  <c r="Q194" i="10" a="1"/>
  <c r="Q194" i="10" s="1"/>
  <c r="Q68" i="10" a="1"/>
  <c r="Q68" i="10" s="1"/>
  <c r="Q192" i="10" a="1"/>
  <c r="Q192" i="10" s="1"/>
  <c r="Q170" i="10" a="1"/>
  <c r="Q170" i="10" s="1"/>
  <c r="Q128" i="10" a="1"/>
  <c r="Q128" i="10" s="1"/>
  <c r="Q106" i="10" a="1"/>
  <c r="Q106" i="10" s="1"/>
  <c r="Q164" i="10" a="1"/>
  <c r="Q164" i="10" s="1"/>
  <c r="Q63" i="10" a="1"/>
  <c r="Q63" i="10" s="1"/>
  <c r="Q100" i="10" a="1"/>
  <c r="Q100" i="10" s="1"/>
  <c r="Q57" i="10" a="1"/>
  <c r="Q57" i="10" s="1"/>
  <c r="Q19" i="10" a="1"/>
  <c r="Q19" i="10" s="1"/>
  <c r="Q20" i="10" a="1"/>
  <c r="Q20" i="10" s="1"/>
  <c r="Q110" i="10" a="1"/>
  <c r="Q110" i="10" s="1"/>
  <c r="Q58" i="10" a="1"/>
  <c r="Q58" i="10" s="1"/>
  <c r="Q190" i="10" a="1"/>
  <c r="Q190" i="10" s="1"/>
  <c r="Q148" i="10" a="1"/>
  <c r="Q148" i="10" s="1"/>
  <c r="Q126" i="10" a="1"/>
  <c r="Q126" i="10" s="1"/>
  <c r="Q184" i="10" a="1"/>
  <c r="Q184" i="10" s="1"/>
  <c r="Q82" i="10" a="1"/>
  <c r="Q82" i="10" s="1"/>
  <c r="Q120" i="10" a="1"/>
  <c r="Q120" i="10" s="1"/>
  <c r="Q77" i="10" a="1"/>
  <c r="Q77" i="10" s="1"/>
  <c r="Q15" i="10" a="1"/>
  <c r="Q15" i="10" s="1"/>
  <c r="Q37" i="10" a="1"/>
  <c r="Q37" i="10" s="1"/>
  <c r="Q88" i="10" a="1"/>
  <c r="Q88" i="10" s="1"/>
  <c r="Q51" i="10" a="1"/>
  <c r="Q51" i="10" s="1"/>
  <c r="Q40" i="10" a="1"/>
  <c r="Q40" i="10" s="1"/>
  <c r="Q168" i="10" a="1"/>
  <c r="Q168" i="10" s="1"/>
  <c r="Q146" i="10" a="1"/>
  <c r="Q146" i="10" s="1"/>
  <c r="Q204" i="10" a="1"/>
  <c r="Q204" i="10" s="1"/>
  <c r="Q102" i="10" a="1"/>
  <c r="Q102" i="10" s="1"/>
  <c r="Q140" i="10" a="1"/>
  <c r="Q140" i="10" s="1"/>
  <c r="Q97" i="10" a="1"/>
  <c r="Q97" i="10" s="1"/>
  <c r="Q75" i="10" a="1"/>
  <c r="Q75" i="10" s="1"/>
  <c r="Q14" i="10" a="1"/>
  <c r="Q14" i="10" s="1"/>
  <c r="Q130" i="10" a="1"/>
  <c r="Q130" i="10" s="1"/>
  <c r="Q71" i="10" a="1"/>
  <c r="Q71" i="10" s="1"/>
  <c r="Q11" i="10" a="1"/>
  <c r="Q11" i="10" s="1"/>
  <c r="Q188" i="10" a="1"/>
  <c r="Q188" i="10" s="1"/>
  <c r="Q166" i="10" a="1"/>
  <c r="Q166" i="10" s="1"/>
  <c r="Q45" i="10" a="1"/>
  <c r="Q45" i="10" s="1"/>
  <c r="Q122" i="10" a="1"/>
  <c r="Q122" i="10" s="1"/>
  <c r="Q160" i="10" a="1"/>
  <c r="Q160" i="10" s="1"/>
  <c r="Q117" i="10" a="1"/>
  <c r="Q117" i="10" s="1"/>
  <c r="Q95" i="10" a="1"/>
  <c r="Q95" i="10" s="1"/>
  <c r="Q13" i="10" a="1"/>
  <c r="Q13" i="10" s="1"/>
  <c r="Q59" i="10" a="1"/>
  <c r="Q59" i="10" s="1"/>
  <c r="Q186" i="10" a="1"/>
  <c r="Q186" i="10" s="1"/>
  <c r="Q3" i="10" a="1"/>
  <c r="Q3" i="10" s="1"/>
  <c r="Q142" i="10" a="1"/>
  <c r="Q142" i="10" s="1"/>
  <c r="Q180" i="10" a="1"/>
  <c r="Q180" i="10" s="1"/>
  <c r="Q137" i="10" a="1"/>
  <c r="Q137" i="10" s="1"/>
  <c r="Q115" i="10" a="1"/>
  <c r="Q115" i="10" s="1"/>
  <c r="Q33" i="10" a="1"/>
  <c r="Q33" i="10" s="1"/>
  <c r="Q9" i="10" a="1"/>
  <c r="Q9" i="10" s="1"/>
  <c r="Q111" i="10" a="1"/>
  <c r="Q111" i="10" s="1"/>
  <c r="Q29" i="10" a="1"/>
  <c r="Q29" i="10" s="1"/>
  <c r="Q28" i="10" a="1"/>
  <c r="Q28" i="10" s="1"/>
  <c r="Q206" i="10" a="1"/>
  <c r="Q206" i="10" s="1"/>
  <c r="Q23" i="10" a="1"/>
  <c r="Q23" i="10" s="1"/>
  <c r="Q162" i="10" a="1"/>
  <c r="Q162" i="10" s="1"/>
  <c r="Q200" i="10" a="1"/>
  <c r="Q200" i="10" s="1"/>
  <c r="Q157" i="10" a="1"/>
  <c r="Q157" i="10" s="1"/>
  <c r="Q135" i="10" a="1"/>
  <c r="Q135" i="10" s="1"/>
  <c r="Q53" i="10" a="1"/>
  <c r="Q53" i="10" s="1"/>
  <c r="Q131" i="10" a="1"/>
  <c r="Q131" i="10" s="1"/>
  <c r="Q7" i="10" a="1"/>
  <c r="Q7" i="10" s="1"/>
  <c r="Q66" i="10" a="1"/>
  <c r="Q66" i="10" s="1"/>
  <c r="Q43" i="10" a="1"/>
  <c r="Q43" i="10" s="1"/>
  <c r="Q182" i="10" a="1"/>
  <c r="Q182" i="10" s="1"/>
  <c r="Q79" i="10" a="1"/>
  <c r="Q79" i="10" s="1"/>
  <c r="Q177" i="10" a="1"/>
  <c r="Q177" i="10" s="1"/>
  <c r="Q155" i="10" a="1"/>
  <c r="Q155" i="10" s="1"/>
  <c r="Q73" i="10" a="1"/>
  <c r="Q73" i="10" s="1"/>
  <c r="Q49" i="10" a="1"/>
  <c r="Q49" i="10" s="1"/>
  <c r="Q151" i="10" a="1"/>
  <c r="Q151" i="10" s="1"/>
  <c r="Q69" i="10" a="1"/>
  <c r="Q69" i="10" s="1"/>
  <c r="Q27" i="10" a="1"/>
  <c r="Q27" i="10" s="1"/>
  <c r="Q85" i="10" a="1"/>
  <c r="Q85" i="10" s="1"/>
  <c r="Q64" i="10" a="1"/>
  <c r="Q64" i="10" s="1"/>
  <c r="Q202" i="10" a="1"/>
  <c r="Q202" i="10" s="1"/>
  <c r="Q99" i="10" a="1"/>
  <c r="Q99" i="10" s="1"/>
  <c r="Q197" i="10" a="1"/>
  <c r="Q197" i="10" s="1"/>
  <c r="Q175" i="10" a="1"/>
  <c r="Q175" i="10" s="1"/>
  <c r="Q93" i="10" a="1"/>
  <c r="Q93" i="10" s="1"/>
  <c r="Q25" i="10" a="1"/>
  <c r="Q25" i="10" s="1"/>
  <c r="Q171" i="10" a="1"/>
  <c r="Q171" i="10" s="1"/>
  <c r="Q89" i="10" a="1"/>
  <c r="Q89" i="10" s="1"/>
  <c r="Q47" i="10" a="1"/>
  <c r="Q47" i="10" s="1"/>
  <c r="Q105" i="10" a="1"/>
  <c r="Q105" i="10" s="1"/>
  <c r="Q83" i="10" a="1"/>
  <c r="Q83" i="10" s="1"/>
  <c r="Q44" i="10" a="1"/>
  <c r="Q44" i="10" s="1"/>
  <c r="Q119" i="10" a="1"/>
  <c r="Q119" i="10" s="1"/>
  <c r="Q6" i="10" a="1"/>
  <c r="Q6" i="10" s="1"/>
  <c r="Q195" i="10" a="1"/>
  <c r="Q195" i="10" s="1"/>
  <c r="Q113" i="10" a="1"/>
  <c r="Q113" i="10" s="1"/>
  <c r="Q191" i="10" a="1"/>
  <c r="Q191" i="10" s="1"/>
  <c r="Q109" i="10" a="1"/>
  <c r="Q109" i="10" s="1"/>
  <c r="Q67" i="10" a="1"/>
  <c r="Q67" i="10" s="1"/>
  <c r="Q125" i="10" a="1"/>
  <c r="Q125" i="10" s="1"/>
  <c r="Q103" i="10" a="1"/>
  <c r="Q103" i="10" s="1"/>
  <c r="Q21" i="10" a="1"/>
  <c r="Q21" i="10" s="1"/>
  <c r="Q139" i="10" a="1"/>
  <c r="Q139" i="10" s="1"/>
  <c r="Q78" i="10" a="1"/>
  <c r="Q78" i="10" s="1"/>
  <c r="Q60" i="10" a="1"/>
  <c r="Q60" i="10" s="1"/>
  <c r="Q133" i="10" a="1"/>
  <c r="Q133" i="10" s="1"/>
  <c r="Q18" i="10" a="1"/>
  <c r="Q18" i="10" s="1"/>
  <c r="Q87" i="10" a="1"/>
  <c r="Q87" i="10" s="1"/>
  <c r="Q145" i="10" a="1"/>
  <c r="Q145" i="10" s="1"/>
  <c r="Q123" i="10" a="1"/>
  <c r="Q123" i="10" s="1"/>
  <c r="Q41" i="10" a="1"/>
  <c r="Q41" i="10" s="1"/>
  <c r="Q159" i="10" a="1"/>
  <c r="Q159" i="10" s="1"/>
  <c r="Q16" i="10" a="1"/>
  <c r="Q16" i="10" s="1"/>
  <c r="Q35" i="10" a="1"/>
  <c r="Q35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tc={095796EF-70EB-45B3-B555-E3E6B4C29B5F}</author>
  </authors>
  <commentList>
    <comment ref="C23" authorId="0" shapeId="0" xr:uid="{095796EF-70EB-45B3-B555-E3E6B4C29B5F}">
      <text>
        <t>[Threaded comment]
Your version of Excel allows you to read this threaded comment; however, any edits to it will get removed if the file is opened in a newer version of Excel. Learn more: https://go.microsoft.com/fwlink/?linkid=870924
Comment:
    Bowling Alley!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tc={E8229714-646D-4F71-9A89-EEE3696BC84D}</author>
  </authors>
  <commentList>
    <comment ref="A2" authorId="0" shapeId="0" xr:uid="{E8229714-646D-4F71-9A89-EEE3696BC84D}">
      <text>
        <t>[Threaded comment]
Your version of Excel allows you to read this threaded comment; however, any edits to it will get removed if the file is opened in a newer version of Excel. Learn more: https://go.microsoft.com/fwlink/?linkid=870924
Comment:
    Cannot have windows on North side, nor use corridors or doors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<sst xmlns="http://schemas.openxmlformats.org/spreadsheetml/2006/main" count="4282" uniqueCount="1013">
  <si>
    <t>Name</t>
  </si>
  <si>
    <t>Region</t>
  </si>
  <si>
    <t>Star Type</t>
  </si>
  <si>
    <t>Stellar Class</t>
  </si>
  <si>
    <t>Water</t>
  </si>
  <si>
    <t>Lifeform</t>
  </si>
  <si>
    <t>Pirate Controlled</t>
  </si>
  <si>
    <t>Dissonant</t>
  </si>
  <si>
    <t>Black Hole</t>
  </si>
  <si>
    <t>Paradise Planet</t>
  </si>
  <si>
    <t>Galactic Hub</t>
  </si>
  <si>
    <t>Economy Rating</t>
  </si>
  <si>
    <t>Economy</t>
  </si>
  <si>
    <t>Economy 2</t>
  </si>
  <si>
    <t>Sell</t>
  </si>
  <si>
    <t>Buy</t>
  </si>
  <si>
    <t>Conflict</t>
  </si>
  <si>
    <t>Conflict Rating</t>
  </si>
  <si>
    <t>Planets</t>
  </si>
  <si>
    <t>Moons</t>
  </si>
  <si>
    <t>Base</t>
  </si>
  <si>
    <t>LY from Galactic Core</t>
  </si>
  <si>
    <t>Discovered</t>
  </si>
  <si>
    <t>Adorad-Mido</t>
  </si>
  <si>
    <t>Yellow</t>
  </si>
  <si>
    <t>Gek</t>
  </si>
  <si>
    <t>Nano-construction</t>
  </si>
  <si>
    <t>Medium Supply</t>
  </si>
  <si>
    <t>Fractious</t>
  </si>
  <si>
    <t>Ciusi Base</t>
  </si>
  <si>
    <t>Akatah-Zeniko</t>
  </si>
  <si>
    <t>Korvax</t>
  </si>
  <si>
    <t>Material Fusion</t>
  </si>
  <si>
    <t>Adequate</t>
  </si>
  <si>
    <t>Formidable</t>
  </si>
  <si>
    <t>Near Yihweyf-laod</t>
  </si>
  <si>
    <t>Almdal</t>
  </si>
  <si>
    <t>Eotomei Cluster</t>
  </si>
  <si>
    <t>G8f</t>
  </si>
  <si>
    <t>Yes</t>
  </si>
  <si>
    <t>Vy'keen</t>
  </si>
  <si>
    <t>Advanced Materials</t>
  </si>
  <si>
    <t>High Supply</t>
  </si>
  <si>
    <t>Boisterous</t>
  </si>
  <si>
    <t>Atlas</t>
  </si>
  <si>
    <t>Trading</t>
  </si>
  <si>
    <t>Developing</t>
  </si>
  <si>
    <t>Unstable</t>
  </si>
  <si>
    <t>Metallicazania (w/ portal)</t>
  </si>
  <si>
    <t>Binusch-Aqan</t>
  </si>
  <si>
    <t>Commercial</t>
  </si>
  <si>
    <t>Low Supply</t>
  </si>
  <si>
    <t>Critical</t>
  </si>
  <si>
    <t>Di-Hydrogen &amp; Plant Lamps</t>
  </si>
  <si>
    <t>Biutanugzh</t>
  </si>
  <si>
    <t>Ipuram</t>
  </si>
  <si>
    <t>G8p</t>
  </si>
  <si>
    <t>Declining</t>
  </si>
  <si>
    <t>Lawless</t>
  </si>
  <si>
    <t>Chofunat</t>
  </si>
  <si>
    <t>Ziljak</t>
  </si>
  <si>
    <t>G6f</t>
  </si>
  <si>
    <t>Mercantile</t>
  </si>
  <si>
    <t>Prosperous</t>
  </si>
  <si>
    <t>Dangerous</t>
  </si>
  <si>
    <t>Ocken-Nejot Base</t>
  </si>
  <si>
    <t>Dumitro XV</t>
  </si>
  <si>
    <t>Experimental</t>
  </si>
  <si>
    <t>Satisfactory</t>
  </si>
  <si>
    <t>Stable</t>
  </si>
  <si>
    <t>Cayntah-Ohan Outpost</t>
  </si>
  <si>
    <t>Edelitsi</t>
  </si>
  <si>
    <t>Orbaragui Sector</t>
  </si>
  <si>
    <t>G6pf</t>
  </si>
  <si>
    <t>Scientific</t>
  </si>
  <si>
    <t>Promising</t>
  </si>
  <si>
    <t>Sporadic</t>
  </si>
  <si>
    <t>Edeside-Kisk</t>
  </si>
  <si>
    <t>The Arm of Awenko</t>
  </si>
  <si>
    <t>G3</t>
  </si>
  <si>
    <t>Sustainable</t>
  </si>
  <si>
    <t>Idaho</t>
  </si>
  <si>
    <t>Fuel Generation</t>
  </si>
  <si>
    <t>Black Market</t>
  </si>
  <si>
    <t>Reseusian-Toch Colony</t>
  </si>
  <si>
    <t>Ilband VII</t>
  </si>
  <si>
    <t>Untroubled</t>
  </si>
  <si>
    <t>River Heights</t>
  </si>
  <si>
    <t>Iosculie</t>
  </si>
  <si>
    <t>Bovenk Band</t>
  </si>
  <si>
    <t>F8f</t>
  </si>
  <si>
    <t>High Tech</t>
  </si>
  <si>
    <t>Kehava</t>
  </si>
  <si>
    <t>High Voltage</t>
  </si>
  <si>
    <t>Testy</t>
  </si>
  <si>
    <t>Goombah HQ</t>
  </si>
  <si>
    <t>Musanjo-Sur</t>
  </si>
  <si>
    <t>Red</t>
  </si>
  <si>
    <t>Uncharted</t>
  </si>
  <si>
    <t>Data Unavailable</t>
  </si>
  <si>
    <t>Nodla-Albe Outpost</t>
  </si>
  <si>
    <t>Nogarin</t>
  </si>
  <si>
    <t>Sozmeyto Sector</t>
  </si>
  <si>
    <t>G1f</t>
  </si>
  <si>
    <t>Power Generation</t>
  </si>
  <si>
    <t>Nogdan Ogges</t>
  </si>
  <si>
    <t>Prospecting</t>
  </si>
  <si>
    <t>Nessyer Outpost</t>
  </si>
  <si>
    <t>Okteyvk-Helig X</t>
  </si>
  <si>
    <t>Omrada XVI</t>
  </si>
  <si>
    <t>Pakeang Fringe</t>
  </si>
  <si>
    <t>G0</t>
  </si>
  <si>
    <t>Engineering</t>
  </si>
  <si>
    <t>Opulent</t>
  </si>
  <si>
    <t>Adford-Timo Base</t>
  </si>
  <si>
    <t>Ordall-Dolu</t>
  </si>
  <si>
    <t>G2</t>
  </si>
  <si>
    <t>Trivial</t>
  </si>
  <si>
    <t>Owdzangm XV</t>
  </si>
  <si>
    <t>Shipping</t>
  </si>
  <si>
    <t>Unruly</t>
  </si>
  <si>
    <t>Chateau Frontenac (in progress)</t>
  </si>
  <si>
    <t>Serial_00043</t>
  </si>
  <si>
    <t>Nogusingo Spur</t>
  </si>
  <si>
    <t>Manufacturing</t>
  </si>
  <si>
    <t>Sodega</t>
  </si>
  <si>
    <t>Mass Production</t>
  </si>
  <si>
    <t>Ehami-Abie Colony (Para-Diss)</t>
  </si>
  <si>
    <t>Terlyaz IX</t>
  </si>
  <si>
    <t>Otnewje Outpost</t>
  </si>
  <si>
    <t>Ufimsk-Goht XVII</t>
  </si>
  <si>
    <t>Comfortable</t>
  </si>
  <si>
    <t>Peaceful</t>
  </si>
  <si>
    <t>Ranch Risa</t>
  </si>
  <si>
    <t>Ulyovoz-Rekb VIII</t>
  </si>
  <si>
    <t>Wortham-Nanf</t>
  </si>
  <si>
    <t>The Resort At The End of the Universe</t>
  </si>
  <si>
    <t>Yahngers</t>
  </si>
  <si>
    <t>Metal Processing</t>
  </si>
  <si>
    <t>Gentle</t>
  </si>
  <si>
    <t>Morin Heights</t>
  </si>
  <si>
    <t>Yehteik</t>
  </si>
  <si>
    <t>Yihweyf-Iaod</t>
  </si>
  <si>
    <t>Esire Outpost</t>
  </si>
  <si>
    <t>Yunnanhe</t>
  </si>
  <si>
    <t>G9f</t>
  </si>
  <si>
    <t>Flourishing</t>
  </si>
  <si>
    <t>Yupering</t>
  </si>
  <si>
    <t>Bizarro-Xeno Worm Outpost</t>
  </si>
  <si>
    <t>System</t>
  </si>
  <si>
    <t>Planet</t>
  </si>
  <si>
    <t>Planet Type</t>
  </si>
  <si>
    <t>Weather</t>
  </si>
  <si>
    <t>Sentinels</t>
  </si>
  <si>
    <t>Flora</t>
  </si>
  <si>
    <t>Fauna</t>
  </si>
  <si>
    <t>Dissonance Detected</t>
  </si>
  <si>
    <t>Fauna Discovered</t>
  </si>
  <si>
    <t>Flora Discovered</t>
  </si>
  <si>
    <t>Minerals Discovered</t>
  </si>
  <si>
    <t>X Coordinates</t>
  </si>
  <si>
    <t>Y Coordinates</t>
  </si>
  <si>
    <t>Glyphs</t>
  </si>
  <si>
    <t>Coordinates</t>
  </si>
  <si>
    <t>Distance to Galactic Center</t>
  </si>
  <si>
    <t>Mineral Extractor</t>
  </si>
  <si>
    <t>Class (ME)</t>
  </si>
  <si>
    <t>Density</t>
  </si>
  <si>
    <t>Network Extraction Rate/hr</t>
  </si>
  <si>
    <t>Storage Capacity</t>
  </si>
  <si>
    <t>Production Cycle Time (mins)</t>
  </si>
  <si>
    <t>Production Hours</t>
  </si>
  <si>
    <t>In Production (Minerals)</t>
  </si>
  <si>
    <t>Gas Extractor</t>
  </si>
  <si>
    <t>Class (GE)</t>
  </si>
  <si>
    <t>Concentration</t>
  </si>
  <si>
    <t>In Production (Gas)</t>
  </si>
  <si>
    <t>Electromagnetic Class</t>
  </si>
  <si>
    <t>Field Strength</t>
  </si>
  <si>
    <t>Power Output</t>
  </si>
  <si>
    <t>Notes</t>
  </si>
  <si>
    <t>Activated Copper</t>
  </si>
  <si>
    <t>Ammonia</t>
  </si>
  <si>
    <t>Ancient Bones</t>
  </si>
  <si>
    <t>Cactus Flesh</t>
  </si>
  <si>
    <t>Cadmium</t>
  </si>
  <si>
    <t>Cobalt</t>
  </si>
  <si>
    <t>Copper</t>
  </si>
  <si>
    <t>Dioxite</t>
  </si>
  <si>
    <t>Frost Crystal</t>
  </si>
  <si>
    <t>Fungal Mould</t>
  </si>
  <si>
    <t>Magnetised Ferrite</t>
  </si>
  <si>
    <t>Paraffinium</t>
  </si>
  <si>
    <t>Phosphorus</t>
  </si>
  <si>
    <t>Pyrite</t>
  </si>
  <si>
    <t>Salt</t>
  </si>
  <si>
    <t>Silver</t>
  </si>
  <si>
    <t>Sodium</t>
  </si>
  <si>
    <t>Solanium</t>
  </si>
  <si>
    <t>Star Bulb</t>
  </si>
  <si>
    <t>Centinusch Naru</t>
  </si>
  <si>
    <t>Paradise</t>
  </si>
  <si>
    <t>Temperate</t>
  </si>
  <si>
    <t>Sparse</t>
  </si>
  <si>
    <t>Rich</t>
  </si>
  <si>
    <t>Frequent</t>
  </si>
  <si>
    <t>POHEK:09B3:007E:0E44:01EE</t>
  </si>
  <si>
    <t>C</t>
  </si>
  <si>
    <t>No</t>
  </si>
  <si>
    <t>Oxygen</t>
  </si>
  <si>
    <t>C-50%</t>
  </si>
  <si>
    <t>Next to a Trading Post and crashed freighter (unexplored yet). Three star economy!!!</t>
  </si>
  <si>
    <t>Alaytone Outpost</t>
  </si>
  <si>
    <t>Cebrooke Kush</t>
  </si>
  <si>
    <t>Beautiful</t>
  </si>
  <si>
    <t>Bountiful</t>
  </si>
  <si>
    <t>NASEI:0EF5:007B:0791:00C7</t>
  </si>
  <si>
    <t>Nelsusi</t>
  </si>
  <si>
    <t>Xeno-Colony</t>
  </si>
  <si>
    <t>UDTI:09A4:007E:0E44:0082</t>
  </si>
  <si>
    <t>None</t>
  </si>
  <si>
    <t>Predators!!</t>
  </si>
  <si>
    <t>Rogin XIX</t>
  </si>
  <si>
    <t>Scorched</t>
  </si>
  <si>
    <t>Incendiary Dust</t>
  </si>
  <si>
    <t>Limited</t>
  </si>
  <si>
    <t>Ample</t>
  </si>
  <si>
    <t>Full</t>
  </si>
  <si>
    <t>6/6</t>
  </si>
  <si>
    <t>9</t>
  </si>
  <si>
    <t>11</t>
  </si>
  <si>
    <t>DOON:09B7:007E:0E45:0100</t>
  </si>
  <si>
    <t>S</t>
  </si>
  <si>
    <t>Runaway Mould</t>
  </si>
  <si>
    <t>Drogradur NO426 (Chrima E16?)</t>
  </si>
  <si>
    <t>Mellow</t>
  </si>
  <si>
    <t>Few</t>
  </si>
  <si>
    <t>11/12</t>
  </si>
  <si>
    <t>042F:0078:0D56:001B</t>
  </si>
  <si>
    <t>Tall fort</t>
  </si>
  <si>
    <t>Fuku 84/H2</t>
  </si>
  <si>
    <t>Verdant</t>
  </si>
  <si>
    <t>Superheated Drizzle</t>
  </si>
  <si>
    <t>NUWA:0EF6:007B:0793:0191</t>
  </si>
  <si>
    <t>Unknown</t>
  </si>
  <si>
    <t>S?</t>
  </si>
  <si>
    <t>C?</t>
  </si>
  <si>
    <t>Rasleya F10</t>
  </si>
  <si>
    <t>Occasional Ash Storms</t>
  </si>
  <si>
    <t>LALRO:09B7:007E:0E44:00AA</t>
  </si>
  <si>
    <t>Highly concentrated patches of Di-Hydrogen</t>
  </si>
  <si>
    <t>Nagbor XI</t>
  </si>
  <si>
    <t>Sharded from the Atlas</t>
  </si>
  <si>
    <t>Generous</t>
  </si>
  <si>
    <t>6089FF6451A4</t>
  </si>
  <si>
    <t>ZEWIC:09A3:007E:0E44:0089</t>
  </si>
  <si>
    <t>Gikokamab III</t>
  </si>
  <si>
    <t>Dangerously Hot Fog</t>
  </si>
  <si>
    <t>1/11</t>
  </si>
  <si>
    <t>GIYTO:0C39:0082:032E:0085</t>
  </si>
  <si>
    <t>Build upon adjoining black mesas</t>
  </si>
  <si>
    <t>Geton Base</t>
  </si>
  <si>
    <t>Hier SIgma</t>
  </si>
  <si>
    <t>Minimal</t>
  </si>
  <si>
    <t>Uncommon</t>
  </si>
  <si>
    <t>88.5</t>
  </si>
  <si>
    <t>1.29</t>
  </si>
  <si>
    <t>A</t>
  </si>
  <si>
    <t>4 Paraffinium and 1 Silver deposit within base limits</t>
  </si>
  <si>
    <t>Miphi</t>
  </si>
  <si>
    <t>Poisonous</t>
  </si>
  <si>
    <t>Poisonous Gas</t>
  </si>
  <si>
    <t>Ever present</t>
  </si>
  <si>
    <t>Low</t>
  </si>
  <si>
    <t>Regular</t>
  </si>
  <si>
    <t>0/6</t>
  </si>
  <si>
    <t>1</t>
  </si>
  <si>
    <t>0</t>
  </si>
  <si>
    <t>KULAM:0EF6:007B:0793:0015</t>
  </si>
  <si>
    <t>Ipton-Lean Base</t>
  </si>
  <si>
    <t>88.15</t>
  </si>
  <si>
    <t>-174.15</t>
  </si>
  <si>
    <t>4 Paraffinium deposits mined with Autonomous Mining Unit</t>
  </si>
  <si>
    <t>New Uktas</t>
  </si>
  <si>
    <t>Hot</t>
  </si>
  <si>
    <t>Wandering Hot Spots</t>
  </si>
  <si>
    <t>Irregular Patrols</t>
  </si>
  <si>
    <t>Copious</t>
  </si>
  <si>
    <t>9/9</t>
  </si>
  <si>
    <t>10</t>
  </si>
  <si>
    <t>12</t>
  </si>
  <si>
    <t>MOAN:0E02:007C:0B6C:007A</t>
  </si>
  <si>
    <t>Portal</t>
  </si>
  <si>
    <t>Hope XIV</t>
  </si>
  <si>
    <t>Tropical</t>
  </si>
  <si>
    <t>8/10</t>
  </si>
  <si>
    <t>14</t>
  </si>
  <si>
    <t>IKKO:042F:0078:0D56:007A</t>
  </si>
  <si>
    <t>Mountain top with tower and circular building base with upper level. Build golf course</t>
  </si>
  <si>
    <t>Ehavar Gamma</t>
  </si>
  <si>
    <t>Acid Rain</t>
  </si>
  <si>
    <t>Unwavering</t>
  </si>
  <si>
    <t>Average</t>
  </si>
  <si>
    <t>INYI:0E02:007C:0B6C:002B</t>
  </si>
  <si>
    <t>B</t>
  </si>
  <si>
    <t>Cool looking planet with Electro-Alligator plants. Mineral deposit hasn't been located but scan near the gas deposit to find</t>
  </si>
  <si>
    <t>Onville VIII</t>
  </si>
  <si>
    <t>Pleasant</t>
  </si>
  <si>
    <t>Abundant</t>
  </si>
  <si>
    <t>3/3</t>
  </si>
  <si>
    <t>4</t>
  </si>
  <si>
    <t>AMPB:0E02:007C:0B6D:00DA</t>
  </si>
  <si>
    <t>Lots of caves in a bowl shaped cliff formation area</t>
  </si>
  <si>
    <t>Womexborus Nomio</t>
  </si>
  <si>
    <t>Infinite Toxic Mist</t>
  </si>
  <si>
    <t>Low Security</t>
  </si>
  <si>
    <t>7/7</t>
  </si>
  <si>
    <t>MACAR:0C9B:0080:03A8:00A6</t>
  </si>
  <si>
    <t>Pink grasses and bubbles with cool trees that look like tall flowers.</t>
  </si>
  <si>
    <t>Naamascu XVIII</t>
  </si>
  <si>
    <t>Swamp</t>
  </si>
  <si>
    <t>Mists of Annihilation</t>
  </si>
  <si>
    <t>DAQU:0874:0081:0EE5:0191</t>
  </si>
  <si>
    <t>Nitrogen</t>
  </si>
  <si>
    <t>Build a treehouse!</t>
  </si>
  <si>
    <t>Extanc XV</t>
  </si>
  <si>
    <t>Blissful</t>
  </si>
  <si>
    <t>Spread Thin</t>
  </si>
  <si>
    <t>11/11</t>
  </si>
  <si>
    <t>17</t>
  </si>
  <si>
    <t>28</t>
  </si>
  <si>
    <t>IOCC:0EF6:007B:0794:0079</t>
  </si>
  <si>
    <t>A-81%</t>
  </si>
  <si>
    <t>Rantwith Base</t>
  </si>
  <si>
    <t>72.66</t>
  </si>
  <si>
    <t>-50.96</t>
  </si>
  <si>
    <t>Buka 27/U7</t>
  </si>
  <si>
    <t>Icy</t>
  </si>
  <si>
    <t>Outbreaks of Frozen Rain</t>
  </si>
  <si>
    <t>Answer To None</t>
  </si>
  <si>
    <t>Occasional</t>
  </si>
  <si>
    <t>IQIB:0EF6:007B:0794:007A</t>
  </si>
  <si>
    <t>Tegea Minor</t>
  </si>
  <si>
    <t>Harsh Toxic Wind</t>
  </si>
  <si>
    <t>Infrequent</t>
  </si>
  <si>
    <t>High</t>
  </si>
  <si>
    <t>302EFF6451B0</t>
  </si>
  <si>
    <t>09AF:007E:0E44:002E</t>
  </si>
  <si>
    <t>River system, with caves and a fishing area to build!</t>
  </si>
  <si>
    <t>Rosawb Base</t>
  </si>
  <si>
    <t>-7.37</t>
  </si>
  <si>
    <t>-39.35</t>
  </si>
  <si>
    <t>Copper deposit beside base with Autonomous Mining Unit</t>
  </si>
  <si>
    <t>Ruduen-Bedic</t>
  </si>
  <si>
    <t>6/9</t>
  </si>
  <si>
    <t>6</t>
  </si>
  <si>
    <t>Base in a bowl</t>
  </si>
  <si>
    <t>Semboja Base</t>
  </si>
  <si>
    <t>Nemur 28/M6</t>
  </si>
  <si>
    <t>Rainy Planet</t>
  </si>
  <si>
    <t>Blistering Damp</t>
  </si>
  <si>
    <t>6/10-</t>
  </si>
  <si>
    <t>3</t>
  </si>
  <si>
    <t>7</t>
  </si>
  <si>
    <t>46.98</t>
  </si>
  <si>
    <t>29.04</t>
  </si>
  <si>
    <t>Base by an outpost save point and a minor settlement 800u SW</t>
  </si>
  <si>
    <t>New Wemb</t>
  </si>
  <si>
    <t>Abandoned</t>
  </si>
  <si>
    <t>Howling Gales</t>
  </si>
  <si>
    <t>8/8</t>
  </si>
  <si>
    <t>8</t>
  </si>
  <si>
    <t>Wansin XIII</t>
  </si>
  <si>
    <t>Parched</t>
  </si>
  <si>
    <t>Choking Sandstorms</t>
  </si>
  <si>
    <t>10/10</t>
  </si>
  <si>
    <t>13</t>
  </si>
  <si>
    <t>XAGO:0C3B:0082:032C:005F</t>
  </si>
  <si>
    <t>Got to this system from a black hole near the Sodega system</t>
  </si>
  <si>
    <t>Rondonio</t>
  </si>
  <si>
    <t>Sub-zero</t>
  </si>
  <si>
    <t>&lt;HIGH&gt;</t>
  </si>
  <si>
    <t>TOJO:0C3B:0082:032C:005F</t>
  </si>
  <si>
    <t>UNKNOWN</t>
  </si>
  <si>
    <t>LEYNA:09B3:007E:0E44:01EE</t>
  </si>
  <si>
    <t>Bubie Gamma</t>
  </si>
  <si>
    <t>UHJE:0EF3:007B:0791:0184</t>
  </si>
  <si>
    <t>Tage Minor</t>
  </si>
  <si>
    <t>20D6FCF926F5</t>
  </si>
  <si>
    <t>0EF4:007B:0791:00D6</t>
  </si>
  <si>
    <t>Status</t>
  </si>
  <si>
    <t>Order</t>
  </si>
  <si>
    <t>Type</t>
  </si>
  <si>
    <t>Class</t>
  </si>
  <si>
    <t>Value</t>
  </si>
  <si>
    <t>Tech Slots</t>
  </si>
  <si>
    <t>TS Used</t>
  </si>
  <si>
    <t>Cargo Slots</t>
  </si>
  <si>
    <t>Damaged Cargo Slots</t>
  </si>
  <si>
    <t>Damage Potential</t>
  </si>
  <si>
    <t>Damage Potential Core</t>
  </si>
  <si>
    <t>Shield Strength</t>
  </si>
  <si>
    <r>
      <t>Shield Strength</t>
    </r>
    <r>
      <rPr>
        <sz val="11"/>
        <color theme="1"/>
        <rFont val="Aptos Narrow"/>
        <family val="2"/>
        <scheme val="minor"/>
      </rPr>
      <t xml:space="preserve"> Core</t>
    </r>
  </si>
  <si>
    <t>Hyperdrive Range</t>
  </si>
  <si>
    <t>Hyperdrive Range Core</t>
  </si>
  <si>
    <t>Maneuverability</t>
  </si>
  <si>
    <t>Maneuverability Core</t>
  </si>
  <si>
    <t>Extracted Component</t>
  </si>
  <si>
    <t>EC Value</t>
  </si>
  <si>
    <t>Updated</t>
  </si>
  <si>
    <t>Supercharged Slots</t>
  </si>
  <si>
    <t>Pulse Engine Upgrades</t>
  </si>
  <si>
    <t>PEU Classes</t>
  </si>
  <si>
    <t>Hyperdrive Upgrades</t>
  </si>
  <si>
    <t>Hyperdrive Classes</t>
  </si>
  <si>
    <t>Cadmium Drive</t>
  </si>
  <si>
    <t>Emeril Drive</t>
  </si>
  <si>
    <t>Indium Drive</t>
  </si>
  <si>
    <t>Emergency Warp Unit</t>
  </si>
  <si>
    <t>Shield Upgrades</t>
  </si>
  <si>
    <t>SU Classes</t>
  </si>
  <si>
    <t>Infraknife Accelerator</t>
  </si>
  <si>
    <t>IA Upgrades</t>
  </si>
  <si>
    <t>IA Classes</t>
  </si>
  <si>
    <t>Photon Cannon</t>
  </si>
  <si>
    <t>Photon Cannon Upgrades</t>
  </si>
  <si>
    <t>PC Classes</t>
  </si>
  <si>
    <t>Phase Beam</t>
  </si>
  <si>
    <t>Phase Beam Upgrades</t>
  </si>
  <si>
    <t>PB Classes</t>
  </si>
  <si>
    <t>Rocket Launcher</t>
  </si>
  <si>
    <t>Rocket Launcher Upgrades</t>
  </si>
  <si>
    <t>Cyclotron Ballista</t>
  </si>
  <si>
    <t>Launch Auto-Charger Upgrades</t>
  </si>
  <si>
    <t>Economy Scanner</t>
  </si>
  <si>
    <t>Cargo Scan Deflector</t>
  </si>
  <si>
    <t>Teleport Receiver</t>
  </si>
  <si>
    <t>Glaive of the Gongawashanti</t>
  </si>
  <si>
    <t>Owned</t>
  </si>
  <si>
    <t>Exotic</t>
  </si>
  <si>
    <t>Sx4, Ax2</t>
  </si>
  <si>
    <t>X, S, A, C</t>
  </si>
  <si>
    <t>X, S</t>
  </si>
  <si>
    <t>X,C</t>
  </si>
  <si>
    <t>Skuttlebutt</t>
  </si>
  <si>
    <t>Fighter</t>
  </si>
  <si>
    <t>S, A</t>
  </si>
  <si>
    <t>A, B</t>
  </si>
  <si>
    <t>Imizu's Inspiration</t>
  </si>
  <si>
    <t>Hauler</t>
  </si>
  <si>
    <t>Flameborn-ßµ</t>
  </si>
  <si>
    <t>Salvaged</t>
  </si>
  <si>
    <t>S, Ax4, C</t>
  </si>
  <si>
    <t>X, C</t>
  </si>
  <si>
    <t>Sentinel Cannon</t>
  </si>
  <si>
    <t>Seiyosh's Second Voyage</t>
  </si>
  <si>
    <t>A,C</t>
  </si>
  <si>
    <t>S,A,C</t>
  </si>
  <si>
    <t>A,B</t>
  </si>
  <si>
    <t>S,B</t>
  </si>
  <si>
    <t>Enohesin UR3</t>
  </si>
  <si>
    <t>Irumatan's Inspiration</t>
  </si>
  <si>
    <t>X,S,A</t>
  </si>
  <si>
    <t>S,A</t>
  </si>
  <si>
    <t>X,X,C</t>
  </si>
  <si>
    <t>Sx2</t>
  </si>
  <si>
    <t>Final Vision GT6</t>
  </si>
  <si>
    <t>Broken Down</t>
  </si>
  <si>
    <t>Sleek Cockpit</t>
  </si>
  <si>
    <t>Yanagash's Experiment</t>
  </si>
  <si>
    <t>Shuttle</t>
  </si>
  <si>
    <t>Cx2</t>
  </si>
  <si>
    <t>Ikyush Pilgrim II</t>
  </si>
  <si>
    <t>Sold</t>
  </si>
  <si>
    <t>Inuya's Deadly Discovery</t>
  </si>
  <si>
    <t>Explorer</t>
  </si>
  <si>
    <t>Xx2, A</t>
  </si>
  <si>
    <t>The Eagle of Gravity</t>
  </si>
  <si>
    <t>Shimmering Mistress</t>
  </si>
  <si>
    <t>X</t>
  </si>
  <si>
    <t>Model</t>
  </si>
  <si>
    <t>Role</t>
  </si>
  <si>
    <t>Combat</t>
  </si>
  <si>
    <t>Exploration</t>
  </si>
  <si>
    <t>Industrial</t>
  </si>
  <si>
    <t>Trade</t>
  </si>
  <si>
    <t>Expeditions</t>
  </si>
  <si>
    <t>Times Damaged</t>
  </si>
  <si>
    <t>Captain</t>
  </si>
  <si>
    <t>Crew Mood</t>
  </si>
  <si>
    <t>Fuel Requirements (tonnes/LY)</t>
  </si>
  <si>
    <t>Successful Encounters</t>
  </si>
  <si>
    <t>Next Rank</t>
  </si>
  <si>
    <t>Combat2</t>
  </si>
  <si>
    <t>Expedition Fuel Cost</t>
  </si>
  <si>
    <t>Expedition Duration</t>
  </si>
  <si>
    <t>Industry</t>
  </si>
  <si>
    <t>Exploration2</t>
  </si>
  <si>
    <t>Damage Reduction</t>
  </si>
  <si>
    <t>MV Foe of the Hiokaic</t>
  </si>
  <si>
    <t>Interstellar Dreadnought</t>
  </si>
  <si>
    <t>Attendant Uminen</t>
  </si>
  <si>
    <t>Helpful</t>
  </si>
  <si>
    <t>Custom-Build Reactor</t>
  </si>
  <si>
    <t>11/250</t>
  </si>
  <si>
    <t>MV-8 Inshijo</t>
  </si>
  <si>
    <t>Ensign Gochenqun</t>
  </si>
  <si>
    <t>Cheerful</t>
  </si>
  <si>
    <t>Sensitive Handling</t>
  </si>
  <si>
    <t>9/250</t>
  </si>
  <si>
    <t>SS-3 Okyotano</t>
  </si>
  <si>
    <t>Recruit Urma</t>
  </si>
  <si>
    <t>Ambitious</t>
  </si>
  <si>
    <t>Unregistered</t>
  </si>
  <si>
    <t>10/250</t>
  </si>
  <si>
    <t>SS-9 Uefuk's Mistress</t>
  </si>
  <si>
    <t>SalesGek Entliga</t>
  </si>
  <si>
    <t>Resourceful</t>
  </si>
  <si>
    <t>Ownership History Missing</t>
  </si>
  <si>
    <t>SV Skylark of the Imizumi</t>
  </si>
  <si>
    <t>Consul Bukyun</t>
  </si>
  <si>
    <t>Unflappable</t>
  </si>
  <si>
    <t>Musical Resonance</t>
  </si>
  <si>
    <t>CS The Mother of Flight</t>
  </si>
  <si>
    <t>Deep Space Surveyor</t>
  </si>
  <si>
    <t>Conscript Hiu</t>
  </si>
  <si>
    <t>Nonchalant</t>
  </si>
  <si>
    <t>Captain has Personal Chef</t>
  </si>
  <si>
    <t>8/250</t>
  </si>
  <si>
    <t>CV Daughter of the Nakayabu</t>
  </si>
  <si>
    <t>Expeditionary Cruiser</t>
  </si>
  <si>
    <t>Analyst Entity Sil</t>
  </si>
  <si>
    <t>Wonderful</t>
  </si>
  <si>
    <t>DSV-7 Raganeiu</t>
  </si>
  <si>
    <t>Science Vessel</t>
  </si>
  <si>
    <t>Trader Naudiovi</t>
  </si>
  <si>
    <t>Buoyant</t>
  </si>
  <si>
    <t>Crew Distrusts Ship's Computer</t>
  </si>
  <si>
    <t>DSE The Reflection of Gravity</t>
  </si>
  <si>
    <t>Data Harvesting Platform</t>
  </si>
  <si>
    <t>Resource Analyst Tenssil</t>
  </si>
  <si>
    <t>Faithful</t>
  </si>
  <si>
    <t>Booby Traps</t>
  </si>
  <si>
    <t>Self-Repairing Hull</t>
  </si>
  <si>
    <t>DSE Dance of the Inuyama</t>
  </si>
  <si>
    <t>Industrial Hauler</t>
  </si>
  <si>
    <t>Attendant Smeyndin</t>
  </si>
  <si>
    <t>Jolly</t>
  </si>
  <si>
    <t>DSV-7 Unzent</t>
  </si>
  <si>
    <t>Mining Vessel</t>
  </si>
  <si>
    <t>Vy'keen-at-Arms Urpa</t>
  </si>
  <si>
    <t>Lively</t>
  </si>
  <si>
    <t>Rattling Pipes</t>
  </si>
  <si>
    <t>MV Forge of the Onbetsu</t>
  </si>
  <si>
    <t>Warrior Yunca</t>
  </si>
  <si>
    <t>Loyal</t>
  </si>
  <si>
    <t>Well Polished</t>
  </si>
  <si>
    <t>MV-1 The Setaj Explorer</t>
  </si>
  <si>
    <t>Assistant Neliuskab</t>
  </si>
  <si>
    <t>Sanguine</t>
  </si>
  <si>
    <t>Well-Maintained</t>
  </si>
  <si>
    <t>CS-8 Miyoshiw</t>
  </si>
  <si>
    <t>Orbital Factory Platform</t>
  </si>
  <si>
    <t>Physicist Entity Skitin</t>
  </si>
  <si>
    <t>Enterprising</t>
  </si>
  <si>
    <t>Unusual Engines</t>
  </si>
  <si>
    <t>Holographic Components</t>
  </si>
  <si>
    <t>MS-4 The Gusukab Sentinel</t>
  </si>
  <si>
    <t>Attendant Ridabasett</t>
  </si>
  <si>
    <t>Compliant</t>
  </si>
  <si>
    <t>Genetics Lab Onboard</t>
  </si>
  <si>
    <t>SV-5 Goombah</t>
  </si>
  <si>
    <t>WorkGek Oror</t>
  </si>
  <si>
    <t>Deferential</t>
  </si>
  <si>
    <t>Former Smuggling Vessel</t>
  </si>
  <si>
    <t>The Deathly Okminsk</t>
  </si>
  <si>
    <t>Temporal Aberration</t>
  </si>
  <si>
    <t>Organic Vessel</t>
  </si>
  <si>
    <t>DSV The Sleep of the Gek</t>
  </si>
  <si>
    <t>Mobile Supply Platform</t>
  </si>
  <si>
    <t>Support</t>
  </si>
  <si>
    <t>Research Entity Steiri</t>
  </si>
  <si>
    <t>Agreeable</t>
  </si>
  <si>
    <t>Intruder Alarms Disabled</t>
  </si>
  <si>
    <t>3/250</t>
  </si>
  <si>
    <t>CS-3 Ochikiku's Hammer</t>
  </si>
  <si>
    <t>Fuel Bulker</t>
  </si>
  <si>
    <t>Ensign Ais</t>
  </si>
  <si>
    <t>Bold</t>
  </si>
  <si>
    <t>Devoted to the Captain</t>
  </si>
  <si>
    <t>4/250</t>
  </si>
  <si>
    <t>DSE-3 Moriyak's Birth</t>
  </si>
  <si>
    <t>Supply Vessel</t>
  </si>
  <si>
    <t>Trader Hofnunara</t>
  </si>
  <si>
    <t>Dutiful</t>
  </si>
  <si>
    <t>Captain Distrusts Crew</t>
  </si>
  <si>
    <t>2/250</t>
  </si>
  <si>
    <t>DSV-9 The Kikaimizu Roamer</t>
  </si>
  <si>
    <t>Vy'keen-at-Arms Wuweifanq</t>
  </si>
  <si>
    <t>Fanatical</t>
  </si>
  <si>
    <t>MS-4 Okohamad's Sword</t>
  </si>
  <si>
    <t>Attendant Lufg</t>
  </si>
  <si>
    <t>Strong Willed</t>
  </si>
  <si>
    <t>Captain Scared of Heights</t>
  </si>
  <si>
    <t>5/250</t>
  </si>
  <si>
    <t>MV-2 The Geroch Calculator</t>
  </si>
  <si>
    <t>Advanced Outfitting Platform</t>
  </si>
  <si>
    <t>Corporal Nejiannank</t>
  </si>
  <si>
    <t>Bustling</t>
  </si>
  <si>
    <t>Unionised Crew</t>
  </si>
  <si>
    <t>SV-5 Migusuku</t>
  </si>
  <si>
    <t>Analyst Entity Binoy</t>
  </si>
  <si>
    <t>Militant</t>
  </si>
  <si>
    <t>MS-6 Michiyo's Discovery</t>
  </si>
  <si>
    <t>Merchant Cruiser</t>
  </si>
  <si>
    <t>Enforcer Uran</t>
  </si>
  <si>
    <t>Atypical Construction</t>
  </si>
  <si>
    <t>MV-3 The Usukush Trailblazer</t>
  </si>
  <si>
    <t>Trade Clipper</t>
  </si>
  <si>
    <t>Echo Analyst Entity Lisk</t>
  </si>
  <si>
    <t>CV-9 Ragibucl</t>
  </si>
  <si>
    <t>Merchant Vessel</t>
  </si>
  <si>
    <t>WorkGek Xafil</t>
  </si>
  <si>
    <t>Deck 16 is Missing</t>
  </si>
  <si>
    <t>DSV-7 Sodegat</t>
  </si>
  <si>
    <t>Trade Galleon</t>
  </si>
  <si>
    <t>Research Entity Izkim</t>
  </si>
  <si>
    <t>Snooty</t>
  </si>
  <si>
    <t>MV-5 Nowar's Inspiration</t>
  </si>
  <si>
    <t>WorkGek Kasamhetsg</t>
  </si>
  <si>
    <t>Uncomplaining</t>
  </si>
  <si>
    <t>Pure Oxygen Atmosphere</t>
  </si>
  <si>
    <t>MV The Forge of Air</t>
  </si>
  <si>
    <t>Interstellar Frigate</t>
  </si>
  <si>
    <t>Navigator Voguryuk</t>
  </si>
  <si>
    <t>Scanner Range</t>
  </si>
  <si>
    <t>Slots</t>
  </si>
  <si>
    <t>Max Slots</t>
  </si>
  <si>
    <t>Used Slots</t>
  </si>
  <si>
    <t>Personal Forcefield</t>
  </si>
  <si>
    <t>Mining Tool Upgrades</t>
  </si>
  <si>
    <t>Analysis Visor</t>
  </si>
  <si>
    <t>Analysis Visor Upgrades</t>
  </si>
  <si>
    <t>Optical Drill</t>
  </si>
  <si>
    <t>Advanced Mining Laser</t>
  </si>
  <si>
    <t>Survey Device</t>
  </si>
  <si>
    <t>Terrain Manipulator</t>
  </si>
  <si>
    <t>Paralysis Mortar</t>
  </si>
  <si>
    <t>Cloaking Device</t>
  </si>
  <si>
    <t>Boltcaster</t>
  </si>
  <si>
    <t>Barrel Ioniser</t>
  </si>
  <si>
    <t>Boltcaster Upgrades</t>
  </si>
  <si>
    <t>Voltaic Amplifier</t>
  </si>
  <si>
    <t>Pulse Splitter</t>
  </si>
  <si>
    <t>Pulse Splitter Upgrades</t>
  </si>
  <si>
    <t>Scatter Blaster</t>
  </si>
  <si>
    <t>Scatter Blaster Upgrades</t>
  </si>
  <si>
    <t>Shell Greaser</t>
  </si>
  <si>
    <t>Neutron Cannon</t>
  </si>
  <si>
    <t>Neutron Cannon Upgrades</t>
  </si>
  <si>
    <t>Blaze Javelin</t>
  </si>
  <si>
    <t>Blaze Javelin Upgrades</t>
  </si>
  <si>
    <t>Plasma Launcher</t>
  </si>
  <si>
    <t>Plasma Launcher Upgrades</t>
  </si>
  <si>
    <t>Combat Scope</t>
  </si>
  <si>
    <t>Waveform Focuser N56-P</t>
  </si>
  <si>
    <t>S, A, B</t>
  </si>
  <si>
    <t>S, S, A, B</t>
  </si>
  <si>
    <t>Atlas Sceptre</t>
  </si>
  <si>
    <t>S,S,A</t>
  </si>
  <si>
    <t>Runic Lens</t>
  </si>
  <si>
    <t>Roren's Neutron Driver</t>
  </si>
  <si>
    <t>A,B,C</t>
  </si>
  <si>
    <t>B,B,C</t>
  </si>
  <si>
    <t>S,A,A,C</t>
  </si>
  <si>
    <t>S,S</t>
  </si>
  <si>
    <t>Memories of Thought</t>
  </si>
  <si>
    <t>Technology Slots</t>
  </si>
  <si>
    <t>Technology Slots Max</t>
  </si>
  <si>
    <t>Technology Slots Used</t>
  </si>
  <si>
    <t>Cargo Slots Max</t>
  </si>
  <si>
    <t>Boost Module</t>
  </si>
  <si>
    <t>Booster Upgrades</t>
  </si>
  <si>
    <t>Booster Upgrade Classes</t>
  </si>
  <si>
    <t>Fusion Engine Upgrades</t>
  </si>
  <si>
    <t>Fusion Engine Classes</t>
  </si>
  <si>
    <t>Radar Upgrades</t>
  </si>
  <si>
    <t>Radar Upgrades Classes</t>
  </si>
  <si>
    <t>Mounted Cannon</t>
  </si>
  <si>
    <t>Mounted Cannon Upgrades</t>
  </si>
  <si>
    <t>Mounted Cannon Upgrade Classes</t>
  </si>
  <si>
    <t>Mining Laser Upgrades</t>
  </si>
  <si>
    <t>Mining Laser Upgrade Classes</t>
  </si>
  <si>
    <t>Thermal Buffer</t>
  </si>
  <si>
    <t>Neutron Shielding</t>
  </si>
  <si>
    <t>Air Filtration Unit</t>
  </si>
  <si>
    <t>Megawatt Heater</t>
  </si>
  <si>
    <t>Roamer</t>
  </si>
  <si>
    <t>S,C</t>
  </si>
  <si>
    <t>B,C</t>
  </si>
  <si>
    <t>Minotaur</t>
  </si>
  <si>
    <t>S,Ax2,B</t>
  </si>
  <si>
    <t>B,B</t>
  </si>
  <si>
    <t>Pilgrim</t>
  </si>
  <si>
    <t>Colossus</t>
  </si>
  <si>
    <t>Nomad</t>
  </si>
  <si>
    <t>N/A</t>
  </si>
  <si>
    <t>Item</t>
  </si>
  <si>
    <t>Item Type</t>
  </si>
  <si>
    <t>Category</t>
  </si>
  <si>
    <t>Amount</t>
  </si>
  <si>
    <t>Container</t>
  </si>
  <si>
    <t>Acid</t>
  </si>
  <si>
    <t>Activated Cadmium</t>
  </si>
  <si>
    <t>Activated Emeril</t>
  </si>
  <si>
    <t>Activated Indium</t>
  </si>
  <si>
    <t>Amino Chamber</t>
  </si>
  <si>
    <t>Freighter Production</t>
  </si>
  <si>
    <t>Antimatter</t>
  </si>
  <si>
    <t>Antimatter Housing</t>
  </si>
  <si>
    <t>Aronium</t>
  </si>
  <si>
    <t>Atlantideum</t>
  </si>
  <si>
    <t>Basalt</t>
  </si>
  <si>
    <t>Carbon</t>
  </si>
  <si>
    <t>Carbon Nanotubes</t>
  </si>
  <si>
    <t>Chlorine</t>
  </si>
  <si>
    <t>Chromatic Metal</t>
  </si>
  <si>
    <t>Circuit Board</t>
  </si>
  <si>
    <t>Condensed Carbon</t>
  </si>
  <si>
    <t>Cryogenic Chamber</t>
  </si>
  <si>
    <t>Crystal Sulphide</t>
  </si>
  <si>
    <t>Cyrogenic Chamber</t>
  </si>
  <si>
    <t>Cyro-Pump</t>
  </si>
  <si>
    <t>Cyto-Phosphate</t>
  </si>
  <si>
    <t>Deuterium</t>
  </si>
  <si>
    <t>Di-hydrogen</t>
  </si>
  <si>
    <t>Di-hydrogen Jelly</t>
  </si>
  <si>
    <t>Dirty Bronze</t>
  </si>
  <si>
    <t>Emeril</t>
  </si>
  <si>
    <t>Enriched Carbon</t>
  </si>
  <si>
    <t>Faecium</t>
  </si>
  <si>
    <t>Enriched Gas Product</t>
  </si>
  <si>
    <t>Tradeable</t>
  </si>
  <si>
    <t>Ferrite Dust</t>
  </si>
  <si>
    <t>Frigate Fuel (100 Tonnes)</t>
  </si>
  <si>
    <t>Frigate Fuel (200 Tonnes)</t>
  </si>
  <si>
    <t>Frigate Fuel (50 Tonnes)</t>
  </si>
  <si>
    <t>Fusion Accelerant</t>
  </si>
  <si>
    <t>Fusion Ignitor</t>
  </si>
  <si>
    <t>Gamma Root</t>
  </si>
  <si>
    <t>Geodesite</t>
  </si>
  <si>
    <t>Glass</t>
  </si>
  <si>
    <t>Gold</t>
  </si>
  <si>
    <t>Grantine</t>
  </si>
  <si>
    <t>Heat Capacitor</t>
  </si>
  <si>
    <t>Herox</t>
  </si>
  <si>
    <t>Hot Ice</t>
  </si>
  <si>
    <t>Indium</t>
  </si>
  <si>
    <t>Ion Battery</t>
  </si>
  <si>
    <t>Ionised Cobalt</t>
  </si>
  <si>
    <t>Iridesite</t>
  </si>
  <si>
    <t>Kelp Sac</t>
  </si>
  <si>
    <t>Lemmium</t>
  </si>
  <si>
    <t>Liquid Explosive</t>
  </si>
  <si>
    <t>Living Glass</t>
  </si>
  <si>
    <t>Living Pearl</t>
  </si>
  <si>
    <t>Lubricant</t>
  </si>
  <si>
    <t>Magno-Gold</t>
  </si>
  <si>
    <t>Marrow Bulb</t>
  </si>
  <si>
    <t>Metal Plating</t>
  </si>
  <si>
    <t>Microprocessor</t>
  </si>
  <si>
    <t>Mordite</t>
  </si>
  <si>
    <t>Nitrogen Salt</t>
  </si>
  <si>
    <t>Organic Catalyst</t>
  </si>
  <si>
    <t>Platinum</t>
  </si>
  <si>
    <t>Poly Fibre</t>
  </si>
  <si>
    <t>Portable Reactor</t>
  </si>
  <si>
    <t>Pugneum</t>
  </si>
  <si>
    <t>Pure Ferrite</t>
  </si>
  <si>
    <t>Quantum Computer</t>
  </si>
  <si>
    <t>Quantum Processor</t>
  </si>
  <si>
    <t>Radon</t>
  </si>
  <si>
    <t>Semiconductor</t>
  </si>
  <si>
    <t>Silicate Power</t>
  </si>
  <si>
    <t>Sodium Nitrate</t>
  </si>
  <si>
    <t>Solar Mirror</t>
  </si>
  <si>
    <t>Starshield Battery</t>
  </si>
  <si>
    <t>Starship Launch Fuel</t>
  </si>
  <si>
    <t>Stasis Device</t>
  </si>
  <si>
    <t>Sulphurine</t>
  </si>
  <si>
    <t>Superconductor</t>
  </si>
  <si>
    <t>Thermic Condensate</t>
  </si>
  <si>
    <t>Tritium</t>
  </si>
  <si>
    <t>Unstable Gel</t>
  </si>
  <si>
    <t>Unstable Plasma</t>
  </si>
  <si>
    <t>Uranium</t>
  </si>
  <si>
    <t>Warp Cell</t>
  </si>
  <si>
    <t>Warp Hypercore</t>
  </si>
  <si>
    <t>Mineral/Component</t>
  </si>
  <si>
    <t>Acronym</t>
  </si>
  <si>
    <t>Method</t>
  </si>
  <si>
    <t>Target Mineral/Component</t>
  </si>
  <si>
    <t>Multiplier</t>
  </si>
  <si>
    <t>Produceable</t>
  </si>
  <si>
    <t>Produceable (Max)</t>
  </si>
  <si>
    <t>Desired Amount</t>
  </si>
  <si>
    <t>Materials Required</t>
  </si>
  <si>
    <t>Material 1</t>
  </si>
  <si>
    <t>Material 1 #</t>
  </si>
  <si>
    <t>Material 1 Input</t>
  </si>
  <si>
    <t>Material 1 Total</t>
  </si>
  <si>
    <t>Material 1 Required</t>
  </si>
  <si>
    <t>Strength Rating Material 1</t>
  </si>
  <si>
    <t>Group Strength Rating MAT1</t>
  </si>
  <si>
    <t>Material 2</t>
  </si>
  <si>
    <t>Material 2#</t>
  </si>
  <si>
    <t>Material 2 Input</t>
  </si>
  <si>
    <t>Material 2 Total</t>
  </si>
  <si>
    <t>Material  2 Required</t>
  </si>
  <si>
    <t>Strength Rating Material 2</t>
  </si>
  <si>
    <t>Material 3</t>
  </si>
  <si>
    <t>Material 3#</t>
  </si>
  <si>
    <t>Material 3 Input</t>
  </si>
  <si>
    <t>Material 3 Total</t>
  </si>
  <si>
    <t>Material  2 Required2</t>
  </si>
  <si>
    <t>Strength Rating Material 3</t>
  </si>
  <si>
    <t>Produced Amount (1 Material)</t>
  </si>
  <si>
    <t>Produced Amount (2 Materials)</t>
  </si>
  <si>
    <t>Produced Amount (3 Materials)</t>
  </si>
  <si>
    <t>Produced Amount Max (1 Material)</t>
  </si>
  <si>
    <t>Produced Amount Max (2 Materials)</t>
  </si>
  <si>
    <t>Produced Amount Max (3 Materials)</t>
  </si>
  <si>
    <t>Advanced Agricultural Product</t>
  </si>
  <si>
    <t>Build</t>
  </si>
  <si>
    <t>Agricultural Specialist's Room</t>
  </si>
  <si>
    <t>ASR</t>
  </si>
  <si>
    <t>Freighter Base Building Product</t>
  </si>
  <si>
    <t>Mineral</t>
  </si>
  <si>
    <t>Refine</t>
  </si>
  <si>
    <t>Appearance Modifier Room</t>
  </si>
  <si>
    <t>AMR</t>
  </si>
  <si>
    <t>Biological Room (Expansion)</t>
  </si>
  <si>
    <t>BRE</t>
  </si>
  <si>
    <t>Bulkhead Door</t>
  </si>
  <si>
    <t>BD</t>
  </si>
  <si>
    <t>Harvested Agricultural Substance</t>
  </si>
  <si>
    <t>Unrefined Organic Element</t>
  </si>
  <si>
    <t>Component</t>
  </si>
  <si>
    <t>Refined Organic Element</t>
  </si>
  <si>
    <t>Construction Research Unit</t>
  </si>
  <si>
    <t>Construction Specialist's Room</t>
  </si>
  <si>
    <t>CSR</t>
  </si>
  <si>
    <t>Cryo-Pump</t>
  </si>
  <si>
    <t>Cultivation Chamber</t>
  </si>
  <si>
    <t>CC</t>
  </si>
  <si>
    <t>Double Cultivation Chamber</t>
  </si>
  <si>
    <t>DCC</t>
  </si>
  <si>
    <t>Hot Ice, Organic Catalyst, Superconductor</t>
  </si>
  <si>
    <t>Enhanced Gas Product</t>
  </si>
  <si>
    <t>Exocraft Specialist's Room</t>
  </si>
  <si>
    <t>ESR</t>
  </si>
  <si>
    <t>Exterior Catwalk</t>
  </si>
  <si>
    <t>EC</t>
  </si>
  <si>
    <t>Exterior Platform</t>
  </si>
  <si>
    <t>EP</t>
  </si>
  <si>
    <t>Fleet Command Room</t>
  </si>
  <si>
    <t>FCR</t>
  </si>
  <si>
    <t>Freighter Corridor</t>
  </si>
  <si>
    <t>FC</t>
  </si>
  <si>
    <t>Freighter External Stairs</t>
  </si>
  <si>
    <t>FES</t>
  </si>
  <si>
    <t>Freighter Glass Corridor</t>
  </si>
  <si>
    <t>FGC</t>
  </si>
  <si>
    <t>Freighter Glass Stairs</t>
  </si>
  <si>
    <t>FGS</t>
  </si>
  <si>
    <t>Freighter Stairs</t>
  </si>
  <si>
    <t>FS</t>
  </si>
  <si>
    <t>Galactic Trade Room</t>
  </si>
  <si>
    <t>GTR</t>
  </si>
  <si>
    <t>Gamma Weed</t>
  </si>
  <si>
    <t>Manufactured Gas Product</t>
  </si>
  <si>
    <t>Industrial Room (Expansion)</t>
  </si>
  <si>
    <t>IRE</t>
  </si>
  <si>
    <t>Internal Freighter Wall</t>
  </si>
  <si>
    <t>IFW</t>
  </si>
  <si>
    <t>Herox or Aronium</t>
  </si>
  <si>
    <t>Ladder Module</t>
  </si>
  <si>
    <t>LM</t>
  </si>
  <si>
    <t>Compressed Atmospheric Gas</t>
  </si>
  <si>
    <t>Fusion Accelerant, Hot Ice, Semiconductor</t>
  </si>
  <si>
    <t>Nutrition Room</t>
  </si>
  <si>
    <t>NR</t>
  </si>
  <si>
    <t>Orbital Exocraft Materialiser</t>
  </si>
  <si>
    <t>OEM</t>
  </si>
  <si>
    <t>Concentrated Liquid Fuel</t>
  </si>
  <si>
    <t>Fusion Ignitor, Stasis Device</t>
  </si>
  <si>
    <t>Refiner Room</t>
  </si>
  <si>
    <t>RR</t>
  </si>
  <si>
    <t>Reinforced Window</t>
  </si>
  <si>
    <t>RW</t>
  </si>
  <si>
    <t>Scanner Room</t>
  </si>
  <si>
    <t>ScR</t>
  </si>
  <si>
    <t>Science Specialist's Room</t>
  </si>
  <si>
    <t>SSR</t>
  </si>
  <si>
    <t>Short-Range Teleporter</t>
  </si>
  <si>
    <t>Star Bramble</t>
  </si>
  <si>
    <t>Stellar Extractor Room</t>
  </si>
  <si>
    <t>SER</t>
  </si>
  <si>
    <t>Storage Room 0-9</t>
  </si>
  <si>
    <t>SR</t>
  </si>
  <si>
    <t>Technology Room (Expansion)</t>
  </si>
  <si>
    <t>TRE</t>
  </si>
  <si>
    <t>Teleport Chamber</t>
  </si>
  <si>
    <t>TC</t>
  </si>
  <si>
    <t>Cyro-Pump, Organic Catalyst, Semiconductor</t>
  </si>
  <si>
    <t>Localized Earth Element</t>
  </si>
  <si>
    <t>Weapons Terminal Room</t>
  </si>
  <si>
    <t>WTR</t>
  </si>
  <si>
    <t>Produced Item</t>
  </si>
  <si>
    <t>Floor</t>
  </si>
  <si>
    <t>Seeded</t>
  </si>
  <si>
    <t>Albumen Pearl</t>
  </si>
  <si>
    <t>Gravitino Ball</t>
  </si>
  <si>
    <t>GekNip</t>
  </si>
  <si>
    <t>Sac Venom</t>
  </si>
  <si>
    <t>Seed</t>
  </si>
  <si>
    <t>Produces</t>
  </si>
  <si>
    <t>Plant 1</t>
  </si>
  <si>
    <t>Plant 1 Required</t>
  </si>
  <si>
    <t>Plant 1 Inventory</t>
  </si>
  <si>
    <t>Plant 2</t>
  </si>
  <si>
    <t>Plant 2 Required</t>
  </si>
  <si>
    <t>Plant 2 Inventory</t>
  </si>
  <si>
    <t>Plant 3</t>
  </si>
  <si>
    <t>Plant 3 Required</t>
  </si>
  <si>
    <t>Plant 3 Inventory</t>
  </si>
  <si>
    <t>Grow Time (hr)</t>
  </si>
  <si>
    <t>Amount Per Harvest</t>
  </si>
  <si>
    <t>In Production</t>
  </si>
  <si>
    <t>Total Harvest</t>
  </si>
  <si>
    <t>Production/Day</t>
  </si>
  <si>
    <t>Frostwort</t>
  </si>
  <si>
    <t>Fungal Cluster</t>
  </si>
  <si>
    <t>Gutrot Flower</t>
  </si>
  <si>
    <t>Mordite Root</t>
  </si>
  <si>
    <t>Echinocactus</t>
  </si>
  <si>
    <t>Solar Vine</t>
  </si>
  <si>
    <t>Albumen Pearl Orb</t>
  </si>
  <si>
    <t>Gravitino Host</t>
  </si>
  <si>
    <t>NipNip</t>
  </si>
  <si>
    <t>NipNip Buds</t>
  </si>
  <si>
    <t>Venom Urchin</t>
  </si>
  <si>
    <t>Building Product</t>
  </si>
  <si>
    <t>Layout Acronym</t>
  </si>
  <si>
    <t>Agricultural Room Modules</t>
  </si>
  <si>
    <t>Plants</t>
  </si>
  <si>
    <t>High-Tech Room Modules</t>
  </si>
  <si>
    <t>BR</t>
  </si>
  <si>
    <t>Core Freighter Modules</t>
  </si>
  <si>
    <t>Bytebeat Cable</t>
  </si>
  <si>
    <t>Small-Scale Technology</t>
  </si>
  <si>
    <t>Bytebeat Device</t>
  </si>
  <si>
    <t>Industrial Rooms</t>
  </si>
  <si>
    <t>Hazard Protection Unit</t>
  </si>
  <si>
    <t>Health Station</t>
  </si>
  <si>
    <t>Portable Refiner</t>
  </si>
  <si>
    <t>Save Point</t>
  </si>
  <si>
    <t>Standing Planter</t>
  </si>
  <si>
    <t>Teleport Cable</t>
  </si>
  <si>
    <t>Available Space</t>
  </si>
  <si>
    <t>Buildable</t>
  </si>
  <si>
    <t>Total</t>
  </si>
  <si>
    <t>X/Y</t>
  </si>
  <si>
    <t>2</t>
  </si>
  <si>
    <t>5</t>
  </si>
  <si>
    <t>15</t>
  </si>
  <si>
    <t>16</t>
  </si>
  <si>
    <t>18</t>
  </si>
  <si>
    <t>192</t>
  </si>
  <si>
    <t>20</t>
  </si>
  <si>
    <t>21</t>
  </si>
  <si>
    <t>X/Y2</t>
  </si>
  <si>
    <t>DCC-Fa</t>
  </si>
  <si>
    <t>DCC-MR</t>
  </si>
  <si>
    <t>DCC-FM</t>
  </si>
  <si>
    <t>DCC-SB</t>
  </si>
  <si>
    <t>DCC-CF</t>
  </si>
  <si>
    <t>BREAK AREA</t>
  </si>
  <si>
    <t>DCC-GW</t>
  </si>
  <si>
    <t>DCC-FC</t>
  </si>
  <si>
    <t>DCC-SOL</t>
  </si>
  <si>
    <t>FS&gt;2</t>
  </si>
  <si>
    <t>FES&gt;2</t>
  </si>
  <si>
    <t>FCM</t>
  </si>
  <si>
    <t>BRIDGE</t>
  </si>
  <si>
    <t>FES-&gt;3</t>
  </si>
  <si>
    <t>FS-&gt;3</t>
  </si>
  <si>
    <t>FS-&gt;1</t>
  </si>
  <si>
    <t>FES-&gt;1</t>
  </si>
  <si>
    <t>FES-&gt;2</t>
  </si>
  <si>
    <t>FS-&gt;2</t>
  </si>
  <si>
    <t>FS-&gt;4</t>
  </si>
  <si>
    <t>FES-&gt;4</t>
  </si>
  <si>
    <t>22</t>
  </si>
  <si>
    <t>Pulse Engin</t>
  </si>
  <si>
    <t>Command</t>
  </si>
  <si>
    <t>Command 2</t>
  </si>
  <si>
    <t>Full Command:</t>
  </si>
  <si>
    <t>EC-1</t>
  </si>
  <si>
    <t>ROW 1 - NO CORRIDORS ALLOWED</t>
  </si>
  <si>
    <t>FS4</t>
  </si>
  <si>
    <t>FS2</t>
  </si>
  <si>
    <t>STARBOARD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</si>
</sst>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0.0%"/>
    <numFmt numFmtId="165" formatCode="[$-409]m/d/yy\ h:mm\ AM/PM;@"/>
    <numFmt numFmtId="166" formatCode="0.0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rgb="FF006100"/>
      <name val="Aptos Narrow"/>
      <family val="2"/>
      <scheme val="minor"/>
    </font>
    <font>
      <b/>
      <sz val="11"/>
      <color rgb="FF3F3F76"/>
      <name val="Aptos Narrow"/>
      <family val="2"/>
      <scheme val="minor"/>
    </font>
    <font>
      <b/>
      <sz val="11"/>
      <color rgb="FF9C5700"/>
      <name val="Aptos Narrow"/>
      <family val="2"/>
      <scheme val="minor"/>
    </font>
    <font>
      <b/>
      <sz val="11"/>
      <color rgb="FF9C0006"/>
      <name val="Aptos Narrow"/>
      <family val="2"/>
      <scheme val="minor"/>
    </font>
    <font>
      <sz val="8"/>
      <name val="Aptos Narrow"/>
      <family val="2"/>
      <scheme val="minor"/>
    </font>
    <font>
      <b/>
      <sz val="11"/>
      <name val="Aptos Narrow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-0.2499465926084170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/>
        <bgColor indexed="64"/>
      </patternFill>
    </fill>
    <fill>
      <patternFill patternType="gray0625"/>
    </fill>
    <fill>
      <patternFill patternType="lightHorizontal">
        <bgColor theme="2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  <bgColor theme="4"/>
      </patternFill>
    </fill>
  </fills>
  <borders count="9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indexed="64"/>
      </left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rgb="FF7F7F7F"/>
      </left>
      <right style="mediumDashed">
        <color indexed="64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ck">
        <color indexed="64"/>
      </right>
      <top style="thin">
        <color rgb="FF7F7F7F"/>
      </top>
      <bottom style="thin">
        <color rgb="FF7F7F7F"/>
      </bottom>
      <diagonal/>
    </border>
    <border>
      <left/>
      <right style="thick">
        <color indexed="64"/>
      </right>
      <top/>
      <bottom/>
      <diagonal/>
    </border>
    <border>
      <left/>
      <right style="mediumDashed">
        <color indexed="64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ck">
        <color indexed="64"/>
      </right>
      <top style="thin">
        <color rgb="FF7F7F7F"/>
      </top>
      <bottom/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/>
      <right style="thin">
        <color rgb="FFB2B2B2"/>
      </right>
      <top style="thin">
        <color rgb="FFB2B2B2"/>
      </top>
      <bottom/>
      <diagonal/>
    </border>
    <border>
      <left style="thick">
        <color theme="1"/>
      </left>
      <right/>
      <top style="thick">
        <color theme="1"/>
      </top>
      <bottom/>
      <diagonal/>
    </border>
    <border>
      <left style="thick">
        <color theme="1"/>
      </left>
      <right style="thick">
        <color theme="1"/>
      </right>
      <top/>
      <bottom/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/>
      <top style="thick">
        <color theme="1"/>
      </top>
      <bottom/>
      <diagonal/>
    </border>
    <border>
      <left/>
      <right/>
      <top style="thin">
        <color indexed="64"/>
      </top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/>
      <top style="double">
        <color rgb="FF3F3F3F"/>
      </top>
      <bottom/>
      <diagonal/>
    </border>
    <border>
      <left style="mediumDashed">
        <color theme="1"/>
      </left>
      <right style="mediumDashed">
        <color theme="1"/>
      </right>
      <top/>
      <bottom style="mediumDashed">
        <color theme="1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ck">
        <color rgb="FF3F3F3F"/>
      </left>
      <right/>
      <top style="thick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/>
      <top style="double">
        <color rgb="FF3F3F3F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rgb="FFFF0000"/>
      </top>
      <bottom/>
      <diagonal/>
    </border>
    <border>
      <left/>
      <right style="thick">
        <color theme="1"/>
      </right>
      <top/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rgb="FF3F3F3F"/>
      </left>
      <right/>
      <top style="thin">
        <color theme="4"/>
      </top>
      <bottom/>
      <diagonal/>
    </border>
    <border>
      <left style="thin">
        <color theme="4"/>
      </left>
      <right/>
      <top style="double">
        <color rgb="FF3F3F3F"/>
      </top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double">
        <color rgb="FF3F3F3F"/>
      </top>
      <bottom/>
      <diagonal/>
    </border>
    <border>
      <left style="double">
        <color rgb="FF3F3F3F"/>
      </left>
      <right/>
      <top style="thin">
        <color theme="4"/>
      </top>
      <bottom style="thin">
        <color theme="4"/>
      </bottom>
      <diagonal/>
    </border>
    <border>
      <left style="thick">
        <color auto="1"/>
      </left>
      <right/>
      <top style="thin">
        <color theme="4"/>
      </top>
      <bottom/>
      <diagonal/>
    </border>
    <border>
      <left style="mediumDashed">
        <color theme="1"/>
      </left>
      <right/>
      <top style="thin">
        <color theme="4"/>
      </top>
      <bottom/>
      <diagonal/>
    </border>
    <border>
      <left style="thick">
        <color rgb="FFFF0000"/>
      </left>
      <right/>
      <top style="thin">
        <color theme="4"/>
      </top>
      <bottom/>
      <diagonal/>
    </border>
    <border>
      <left style="thick">
        <color auto="1"/>
      </left>
      <right/>
      <top style="mediumDashed">
        <color theme="1"/>
      </top>
      <bottom/>
      <diagonal/>
    </border>
    <border>
      <left/>
      <right/>
      <top style="mediumDashed">
        <color theme="1"/>
      </top>
      <bottom/>
      <diagonal/>
    </border>
    <border>
      <left style="thin">
        <color rgb="FF7F7F7F"/>
      </left>
      <right/>
      <top style="thin">
        <color theme="4"/>
      </top>
      <bottom/>
      <diagonal/>
    </border>
    <border>
      <left style="thin">
        <color rgb="FFB2B2B2"/>
      </left>
      <right/>
      <top/>
      <bottom/>
      <diagonal/>
    </border>
    <border>
      <left style="thick">
        <color auto="1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auto="1"/>
      </left>
      <right style="thin">
        <color rgb="FF7F7F7F"/>
      </right>
      <top style="thin">
        <color rgb="FF7F7F7F"/>
      </top>
      <bottom/>
      <diagonal/>
    </border>
    <border>
      <left/>
      <right style="mediumDashed">
        <color auto="1"/>
      </right>
      <top style="thin">
        <color rgb="FF7F7F7F"/>
      </top>
      <bottom/>
      <diagonal/>
    </border>
    <border>
      <left/>
      <right style="thick">
        <color theme="1"/>
      </right>
      <top style="thin">
        <color rgb="FF7F7F7F"/>
      </top>
      <bottom/>
      <diagonal/>
    </border>
    <border>
      <left style="double">
        <color rgb="FF3F3F3F"/>
      </left>
      <right/>
      <top style="thick">
        <color indexed="64"/>
      </top>
      <bottom/>
      <diagonal/>
    </border>
    <border>
      <left style="thick">
        <color theme="9" tint="0.39997558519241921"/>
      </left>
      <right/>
      <top style="thick">
        <color indexed="64"/>
      </top>
      <bottom/>
      <diagonal/>
    </border>
    <border>
      <left style="thick">
        <color indexed="64"/>
      </left>
      <right style="thin">
        <color theme="4"/>
      </right>
      <top style="thin">
        <color theme="4"/>
      </top>
      <bottom/>
      <diagonal/>
    </border>
    <border>
      <left style="thick">
        <color theme="1"/>
      </left>
      <right/>
      <top style="thin">
        <color theme="4"/>
      </top>
      <bottom/>
      <diagonal/>
    </border>
    <border>
      <left style="thin">
        <color rgb="FF3F3F3F"/>
      </left>
      <right/>
      <top style="thick">
        <color theme="1"/>
      </top>
      <bottom/>
      <diagonal/>
    </border>
    <border>
      <left style="thick">
        <color theme="1"/>
      </left>
      <right/>
      <top style="thin">
        <color rgb="FF3F3F3F"/>
      </top>
      <bottom/>
      <diagonal/>
    </border>
    <border>
      <left style="thick">
        <color indexed="64"/>
      </left>
      <right/>
      <top style="thin">
        <color rgb="FF3F3F3F"/>
      </top>
      <bottom/>
      <diagonal/>
    </border>
    <border>
      <left style="thin">
        <color rgb="FF3F3F3F"/>
      </left>
      <right/>
      <top style="thick">
        <color indexed="64"/>
      </top>
      <bottom/>
      <diagonal/>
    </border>
    <border>
      <left style="thin">
        <color auto="1"/>
      </left>
      <right/>
      <top style="thin">
        <color theme="4"/>
      </top>
      <bottom/>
      <diagonal/>
    </border>
    <border>
      <left style="thin">
        <color rgb="FF3F3F3F"/>
      </left>
      <right/>
      <top style="thin">
        <color rgb="FF3F3F3F"/>
      </top>
      <bottom/>
      <diagonal/>
    </border>
    <border>
      <left style="thick">
        <color rgb="FFFF0000"/>
      </left>
      <right/>
      <top style="thick">
        <color theme="1"/>
      </top>
      <bottom/>
      <diagonal/>
    </border>
    <border>
      <left style="thin">
        <color rgb="FF3F3F3F"/>
      </left>
      <right/>
      <top style="thin">
        <color theme="4"/>
      </top>
      <bottom/>
      <diagonal/>
    </border>
    <border>
      <left/>
      <right/>
      <top style="thin">
        <color rgb="FF3F3F3F"/>
      </top>
      <bottom/>
      <diagonal/>
    </border>
    <border>
      <left style="double">
        <color indexed="64"/>
      </left>
      <right/>
      <top style="thick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 style="thick">
        <color rgb="FFFF0000"/>
      </top>
      <bottom/>
      <diagonal/>
    </border>
    <border>
      <left style="thick">
        <color theme="1"/>
      </left>
      <right/>
      <top style="mediumDashed">
        <color theme="1"/>
      </top>
      <bottom/>
      <diagonal/>
    </border>
    <border>
      <left style="thick">
        <color rgb="FF3F3F3F"/>
      </left>
      <right/>
      <top style="thin">
        <color theme="4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 style="double">
        <color indexed="64"/>
      </left>
      <right style="thin">
        <color theme="4"/>
      </right>
      <top style="thin">
        <color theme="4"/>
      </top>
      <bottom/>
      <diagonal/>
    </border>
    <border>
      <left style="double">
        <color rgb="FF3F3F3F"/>
      </left>
      <right/>
      <top style="thick">
        <color indexed="64"/>
      </top>
      <bottom style="thin">
        <color theme="4"/>
      </bottom>
      <diagonal/>
    </border>
    <border>
      <left/>
      <right/>
      <top style="thick">
        <color indexed="64"/>
      </top>
      <bottom style="thin">
        <color theme="4"/>
      </bottom>
      <diagonal/>
    </border>
    <border>
      <left/>
      <right/>
      <top style="double">
        <color indexed="64"/>
      </top>
      <bottom style="thin">
        <color theme="4"/>
      </bottom>
      <diagonal/>
    </border>
    <border>
      <left style="mediumDashed">
        <color theme="1"/>
      </left>
      <right/>
      <top style="thick">
        <color indexed="64"/>
      </top>
      <bottom/>
      <diagonal/>
    </border>
    <border>
      <left style="double">
        <color rgb="FF3F3F3F"/>
      </left>
      <right/>
      <top style="mediumDashed">
        <color theme="1"/>
      </top>
      <bottom/>
      <diagonal/>
    </border>
    <border>
      <left style="thin">
        <color rgb="FF7F7F7F"/>
      </left>
      <right/>
      <top style="thick">
        <color indexed="64"/>
      </top>
      <bottom/>
      <diagonal/>
    </border>
    <border>
      <left style="mediumDashed">
        <color theme="1"/>
      </left>
      <right/>
      <top style="mediumDashed">
        <color theme="1"/>
      </top>
      <bottom/>
      <diagonal/>
    </border>
  </borders>
  <cellStyleXfs count="19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5" borderId="1" applyNumberFormat="0" applyAlignment="0" applyProtection="0"/>
    <xf numFmtId="0" fontId="6" fillId="6" borderId="2" applyNumberFormat="0" applyAlignment="0" applyProtection="0"/>
    <xf numFmtId="0" fontId="7" fillId="6" borderId="1" applyNumberFormat="0" applyAlignment="0" applyProtection="0"/>
    <xf numFmtId="0" fontId="9" fillId="7" borderId="3" applyNumberFormat="0" applyAlignment="0" applyProtection="0"/>
    <xf numFmtId="0" fontId="1" fillId="8" borderId="4" applyNumberFormat="0" applyFont="0" applyAlignment="0" applyProtection="0"/>
    <xf numFmtId="0" fontId="11" fillId="9" borderId="0" applyNumberFormat="0" applyBorder="0" applyAlignment="0" applyProtection="0"/>
    <xf numFmtId="0" fontId="1" fillId="20" borderId="37">
      <alignment horizontal="center"/>
    </xf>
    <xf numFmtId="0" fontId="1" fillId="20" borderId="38">
      <alignment horizontal="center"/>
    </xf>
    <xf numFmtId="0" fontId="10" fillId="21" borderId="34">
      <alignment horizontal="center"/>
    </xf>
    <xf numFmtId="0" fontId="1" fillId="20" borderId="39">
      <alignment horizontal="center"/>
    </xf>
    <xf numFmtId="0" fontId="1" fillId="20" borderId="43">
      <alignment horizontal="center"/>
    </xf>
    <xf numFmtId="0" fontId="1" fillId="20" borderId="46">
      <alignment horizontal="center"/>
    </xf>
    <xf numFmtId="0" fontId="1" fillId="22" borderId="0" applyNumberFormat="0" applyBorder="0" applyAlignment="0" applyProtection="0"/>
  </cellStyleXfs>
  <cellXfs count="292">
    <xf numFmtId="0" fontId="0" fillId="0" borderId="0" xfId="0"/>
    <xf numFmtId="164" fontId="0" fillId="0" borderId="0" xfId="2" applyNumberFormat="1" applyFont="1"/>
    <xf numFmtId="2" fontId="0" fillId="0" borderId="0" xfId="0" applyNumberFormat="1"/>
    <xf numFmtId="17" fontId="0" fillId="0" borderId="0" xfId="0" applyNumberFormat="1"/>
    <xf numFmtId="16" fontId="0" fillId="0" borderId="0" xfId="0" applyNumberFormat="1"/>
    <xf numFmtId="14" fontId="0" fillId="0" borderId="0" xfId="0" applyNumberFormat="1"/>
    <xf numFmtId="49" fontId="0" fillId="0" borderId="0" xfId="0" applyNumberFormat="1"/>
    <xf numFmtId="0" fontId="5" fillId="5" borderId="1" xfId="6"/>
    <xf numFmtId="0" fontId="0" fillId="0" borderId="12" xfId="0" applyBorder="1"/>
    <xf numFmtId="0" fontId="2" fillId="2" borderId="6" xfId="3" applyBorder="1" applyAlignment="1">
      <alignment textRotation="180"/>
    </xf>
    <xf numFmtId="2" fontId="0" fillId="0" borderId="12" xfId="0" applyNumberFormat="1" applyBorder="1"/>
    <xf numFmtId="9" fontId="0" fillId="0" borderId="0" xfId="0" applyNumberFormat="1"/>
    <xf numFmtId="1" fontId="0" fillId="0" borderId="0" xfId="0" applyNumberFormat="1"/>
    <xf numFmtId="49" fontId="3" fillId="3" borderId="0" xfId="4" applyNumberFormat="1"/>
    <xf numFmtId="0" fontId="2" fillId="2" borderId="0" xfId="3" applyAlignment="1">
      <alignment horizontal="center" vertical="top"/>
    </xf>
    <xf numFmtId="0" fontId="2" fillId="2" borderId="0" xfId="3" applyAlignment="1">
      <alignment horizontal="left" vertical="top"/>
    </xf>
    <xf numFmtId="44" fontId="0" fillId="0" borderId="0" xfId="1" applyFont="1" applyAlignment="1">
      <alignment horizontal="center" vertical="top" textRotation="180"/>
    </xf>
    <xf numFmtId="0" fontId="0" fillId="0" borderId="0" xfId="0" applyAlignment="1">
      <alignment horizontal="center" vertical="top" textRotation="180"/>
    </xf>
    <xf numFmtId="14" fontId="0" fillId="0" borderId="0" xfId="0" applyNumberFormat="1" applyAlignment="1">
      <alignment horizontal="center" vertical="top" textRotation="180"/>
    </xf>
    <xf numFmtId="1" fontId="4" fillId="4" borderId="0" xfId="5" applyNumberFormat="1" applyAlignment="1">
      <alignment horizontal="right" vertical="top" textRotation="180"/>
    </xf>
    <xf numFmtId="0" fontId="4" fillId="4" borderId="0" xfId="5" applyAlignment="1">
      <alignment horizontal="right" vertical="top" textRotation="180"/>
    </xf>
    <xf numFmtId="0" fontId="4" fillId="4" borderId="0" xfId="5" applyAlignment="1">
      <alignment horizontal="center" vertical="top" textRotation="180"/>
    </xf>
    <xf numFmtId="0" fontId="0" fillId="0" borderId="0" xfId="0" applyAlignment="1">
      <alignment horizontal="left"/>
    </xf>
    <xf numFmtId="44" fontId="0" fillId="0" borderId="0" xfId="1" applyFont="1"/>
    <xf numFmtId="0" fontId="0" fillId="0" borderId="0" xfId="0" applyAlignment="1">
      <alignment horizontal="center"/>
    </xf>
    <xf numFmtId="0" fontId="3" fillId="3" borderId="0" xfId="4"/>
    <xf numFmtId="165" fontId="0" fillId="0" borderId="0" xfId="0" applyNumberFormat="1"/>
    <xf numFmtId="0" fontId="0" fillId="0" borderId="0" xfId="0" quotePrefix="1"/>
    <xf numFmtId="0" fontId="0" fillId="0" borderId="0" xfId="0" applyAlignment="1">
      <alignment horizontal="left" vertical="top" textRotation="180"/>
    </xf>
    <xf numFmtId="0" fontId="0" fillId="0" borderId="0" xfId="0" applyAlignment="1">
      <alignment vertical="top" textRotation="180"/>
    </xf>
    <xf numFmtId="0" fontId="7" fillId="6" borderId="1" xfId="8" applyAlignment="1">
      <alignment vertical="top" textRotation="180"/>
    </xf>
    <xf numFmtId="0" fontId="10" fillId="0" borderId="0" xfId="0" applyFont="1"/>
    <xf numFmtId="0" fontId="10" fillId="0" borderId="0" xfId="0" applyFont="1" applyAlignment="1">
      <alignment horizontal="left"/>
    </xf>
    <xf numFmtId="0" fontId="10" fillId="0" borderId="0" xfId="0" applyFont="1" applyProtection="1">
      <protection locked="0"/>
    </xf>
    <xf numFmtId="0" fontId="3" fillId="3" borderId="0" xfId="4" applyBorder="1" applyAlignment="1" applyProtection="1">
      <alignment horizontal="center"/>
    </xf>
    <xf numFmtId="0" fontId="5" fillId="5" borderId="1" xfId="6" applyNumberFormat="1" applyAlignment="1" applyProtection="1">
      <alignment horizontal="center"/>
    </xf>
    <xf numFmtId="1" fontId="7" fillId="6" borderId="11" xfId="8" applyNumberFormat="1" applyBorder="1" applyAlignment="1" applyProtection="1">
      <alignment horizontal="center" vertical="center"/>
    </xf>
    <xf numFmtId="1" fontId="0" fillId="8" borderId="4" xfId="10" applyNumberFormat="1" applyFont="1" applyAlignment="1">
      <alignment horizontal="center"/>
    </xf>
    <xf numFmtId="0" fontId="2" fillId="2" borderId="0" xfId="3" applyBorder="1" applyAlignment="1" applyProtection="1">
      <alignment horizontal="center"/>
      <protection locked="0"/>
    </xf>
    <xf numFmtId="0" fontId="8" fillId="6" borderId="1" xfId="8" applyNumberFormat="1" applyFont="1" applyAlignment="1" applyProtection="1">
      <alignment horizontal="center"/>
    </xf>
    <xf numFmtId="0" fontId="8" fillId="8" borderId="4" xfId="10" applyNumberFormat="1" applyFont="1" applyAlignment="1" applyProtection="1">
      <alignment horizontal="center"/>
    </xf>
    <xf numFmtId="166" fontId="8" fillId="8" borderId="4" xfId="10" applyNumberFormat="1" applyFont="1" applyAlignment="1" applyProtection="1">
      <alignment horizontal="center"/>
    </xf>
    <xf numFmtId="0" fontId="8" fillId="8" borderId="15" xfId="10" applyNumberFormat="1" applyFont="1" applyBorder="1" applyAlignment="1" applyProtection="1">
      <alignment horizontal="center"/>
    </xf>
    <xf numFmtId="0" fontId="7" fillId="6" borderId="1" xfId="8" applyNumberFormat="1" applyProtection="1"/>
    <xf numFmtId="0" fontId="0" fillId="0" borderId="0" xfId="0" applyProtection="1">
      <protection locked="0"/>
    </xf>
    <xf numFmtId="0" fontId="2" fillId="2" borderId="0" xfId="3" applyAlignment="1" applyProtection="1">
      <alignment horizontal="center"/>
      <protection locked="0"/>
    </xf>
    <xf numFmtId="0" fontId="3" fillId="3" borderId="14" xfId="4" applyBorder="1" applyAlignment="1" applyProtection="1">
      <alignment horizontal="center"/>
    </xf>
    <xf numFmtId="0" fontId="5" fillId="5" borderId="9" xfId="6" applyNumberFormat="1" applyBorder="1" applyAlignment="1" applyProtection="1">
      <alignment horizontal="center"/>
    </xf>
    <xf numFmtId="0" fontId="8" fillId="8" borderId="4" xfId="10" applyFont="1" applyAlignment="1" applyProtection="1">
      <alignment horizontal="center"/>
    </xf>
    <xf numFmtId="0" fontId="8" fillId="8" borderId="15" xfId="10" applyFont="1" applyBorder="1" applyAlignment="1" applyProtection="1">
      <alignment horizontal="center"/>
    </xf>
    <xf numFmtId="0" fontId="5" fillId="5" borderId="9" xfId="6" applyBorder="1" applyAlignment="1" applyProtection="1">
      <alignment horizontal="center"/>
    </xf>
    <xf numFmtId="1" fontId="0" fillId="8" borderId="4" xfId="10" applyNumberFormat="1" applyFont="1" applyAlignment="1" applyProtection="1">
      <alignment horizontal="center" vertical="center"/>
    </xf>
    <xf numFmtId="0" fontId="8" fillId="6" borderId="16" xfId="8" applyNumberFormat="1" applyFont="1" applyBorder="1" applyAlignment="1" applyProtection="1">
      <alignment horizontal="center"/>
    </xf>
    <xf numFmtId="166" fontId="8" fillId="8" borderId="0" xfId="10" applyNumberFormat="1" applyFont="1" applyBorder="1" applyAlignment="1" applyProtection="1">
      <alignment horizontal="center"/>
    </xf>
    <xf numFmtId="0" fontId="5" fillId="5" borderId="17" xfId="6" applyNumberFormat="1" applyBorder="1" applyAlignment="1" applyProtection="1">
      <alignment horizontal="center"/>
    </xf>
    <xf numFmtId="0" fontId="5" fillId="5" borderId="17" xfId="6" applyBorder="1" applyAlignment="1" applyProtection="1">
      <alignment horizontal="center"/>
    </xf>
    <xf numFmtId="0" fontId="8" fillId="6" borderId="17" xfId="8" applyNumberFormat="1" applyFont="1" applyBorder="1" applyAlignment="1" applyProtection="1">
      <alignment horizontal="center"/>
    </xf>
    <xf numFmtId="0" fontId="5" fillId="5" borderId="18" xfId="6" applyNumberFormat="1" applyBorder="1" applyAlignment="1" applyProtection="1">
      <alignment horizontal="center"/>
    </xf>
    <xf numFmtId="0" fontId="8" fillId="6" borderId="17" xfId="8" applyFont="1" applyBorder="1" applyAlignment="1" applyProtection="1">
      <alignment horizontal="center"/>
    </xf>
    <xf numFmtId="0" fontId="5" fillId="5" borderId="18" xfId="6" applyBorder="1" applyAlignment="1" applyProtection="1">
      <alignment horizontal="center"/>
    </xf>
    <xf numFmtId="1" fontId="7" fillId="6" borderId="19" xfId="8" applyNumberFormat="1" applyBorder="1" applyAlignment="1" applyProtection="1">
      <alignment horizontal="center" vertical="center"/>
    </xf>
    <xf numFmtId="0" fontId="2" fillId="2" borderId="20" xfId="3" applyBorder="1" applyAlignment="1" applyProtection="1">
      <alignment horizontal="center"/>
      <protection locked="0"/>
    </xf>
    <xf numFmtId="0" fontId="0" fillId="0" borderId="21" xfId="0" applyBorder="1"/>
    <xf numFmtId="0" fontId="7" fillId="6" borderId="17" xfId="8" applyNumberFormat="1" applyBorder="1" applyProtection="1"/>
    <xf numFmtId="1" fontId="0" fillId="8" borderId="22" xfId="10" applyNumberFormat="1" applyFont="1" applyBorder="1" applyAlignment="1">
      <alignment horizontal="center"/>
    </xf>
    <xf numFmtId="0" fontId="8" fillId="8" borderId="22" xfId="10" applyNumberFormat="1" applyFont="1" applyBorder="1" applyAlignment="1" applyProtection="1">
      <alignment horizontal="center"/>
    </xf>
    <xf numFmtId="0" fontId="8" fillId="8" borderId="21" xfId="10" applyNumberFormat="1" applyFont="1" applyBorder="1" applyAlignment="1" applyProtection="1">
      <alignment horizontal="center"/>
    </xf>
    <xf numFmtId="0" fontId="8" fillId="8" borderId="23" xfId="10" applyNumberFormat="1" applyFont="1" applyBorder="1" applyAlignment="1" applyProtection="1">
      <alignment horizontal="center"/>
    </xf>
    <xf numFmtId="0" fontId="5" fillId="5" borderId="17" xfId="6" applyBorder="1"/>
    <xf numFmtId="0" fontId="8" fillId="6" borderId="1" xfId="8" applyFont="1" applyAlignment="1" applyProtection="1">
      <alignment horizontal="center"/>
    </xf>
    <xf numFmtId="0" fontId="8" fillId="8" borderId="21" xfId="10" applyFont="1" applyBorder="1" applyAlignment="1" applyProtection="1">
      <alignment horizontal="center"/>
    </xf>
    <xf numFmtId="0" fontId="8" fillId="8" borderId="22" xfId="10" applyFont="1" applyBorder="1" applyAlignment="1" applyProtection="1">
      <alignment horizontal="center"/>
    </xf>
    <xf numFmtId="0" fontId="8" fillId="8" borderId="23" xfId="10" applyFont="1" applyBorder="1" applyAlignment="1" applyProtection="1">
      <alignment horizontal="center"/>
    </xf>
    <xf numFmtId="0" fontId="2" fillId="2" borderId="0" xfId="3" applyAlignment="1">
      <alignment horizontal="center"/>
    </xf>
    <xf numFmtId="0" fontId="7" fillId="6" borderId="1" xfId="8" applyAlignment="1">
      <alignment horizontal="left"/>
    </xf>
    <xf numFmtId="2" fontId="0" fillId="0" borderId="0" xfId="0" applyNumberFormat="1" applyAlignment="1">
      <alignment horizontal="left"/>
    </xf>
    <xf numFmtId="0" fontId="7" fillId="6" borderId="1" xfId="8" applyAlignment="1">
      <alignment horizontal="center"/>
    </xf>
    <xf numFmtId="2" fontId="0" fillId="0" borderId="0" xfId="0" applyNumberFormat="1" applyAlignment="1">
      <alignment horizontal="center"/>
    </xf>
    <xf numFmtId="0" fontId="7" fillId="6" borderId="1" xfId="8" applyNumberFormat="1" applyAlignment="1">
      <alignment horizontal="center"/>
    </xf>
    <xf numFmtId="0" fontId="7" fillId="6" borderId="17" xfId="8" applyBorder="1" applyAlignment="1">
      <alignment horizontal="center"/>
    </xf>
    <xf numFmtId="0" fontId="3" fillId="3" borderId="0" xfId="4" applyAlignment="1">
      <alignment horizontal="center"/>
    </xf>
    <xf numFmtId="0" fontId="2" fillId="2" borderId="5" xfId="3" applyBorder="1" applyAlignment="1">
      <alignment horizontal="left"/>
    </xf>
    <xf numFmtId="0" fontId="4" fillId="4" borderId="5" xfId="5" applyBorder="1" applyAlignment="1">
      <alignment horizontal="left"/>
    </xf>
    <xf numFmtId="0" fontId="4" fillId="4" borderId="6" xfId="5" applyBorder="1" applyAlignment="1">
      <alignment horizontal="left"/>
    </xf>
    <xf numFmtId="0" fontId="4" fillId="4" borderId="5" xfId="5" applyBorder="1"/>
    <xf numFmtId="0" fontId="4" fillId="4" borderId="0" xfId="5" applyAlignment="1">
      <alignment horizontal="left"/>
    </xf>
    <xf numFmtId="0" fontId="4" fillId="4" borderId="3" xfId="5" applyBorder="1"/>
    <xf numFmtId="0" fontId="4" fillId="4" borderId="0" xfId="5" applyAlignment="1">
      <alignment horizontal="center"/>
    </xf>
    <xf numFmtId="0" fontId="14" fillId="4" borderId="0" xfId="5" applyFont="1" applyAlignment="1">
      <alignment horizontal="center"/>
    </xf>
    <xf numFmtId="0" fontId="13" fillId="5" borderId="1" xfId="6" applyNumberFormat="1" applyFont="1" applyAlignment="1">
      <alignment horizontal="center"/>
    </xf>
    <xf numFmtId="0" fontId="5" fillId="5" borderId="1" xfId="6" applyAlignment="1">
      <alignment horizontal="center"/>
    </xf>
    <xf numFmtId="0" fontId="9" fillId="7" borderId="3" xfId="9" applyAlignment="1">
      <alignment horizontal="center"/>
    </xf>
    <xf numFmtId="0" fontId="9" fillId="7" borderId="26" xfId="9" applyBorder="1" applyAlignment="1">
      <alignment horizontal="center"/>
    </xf>
    <xf numFmtId="0" fontId="9" fillId="7" borderId="27" xfId="9" applyBorder="1" applyAlignment="1">
      <alignment horizontal="center"/>
    </xf>
    <xf numFmtId="0" fontId="9" fillId="7" borderId="28" xfId="9" applyBorder="1" applyAlignment="1">
      <alignment horizontal="center"/>
    </xf>
    <xf numFmtId="0" fontId="5" fillId="5" borderId="1" xfId="6" applyAlignment="1" applyProtection="1">
      <alignment horizontal="center"/>
    </xf>
    <xf numFmtId="0" fontId="0" fillId="0" borderId="45" xfId="0" applyBorder="1" applyAlignment="1">
      <alignment horizontal="center"/>
    </xf>
    <xf numFmtId="0" fontId="0" fillId="0" borderId="5" xfId="0" applyBorder="1"/>
    <xf numFmtId="0" fontId="9" fillId="23" borderId="47" xfId="0" applyFont="1" applyFill="1" applyBorder="1" applyAlignment="1">
      <alignment horizontal="center"/>
    </xf>
    <xf numFmtId="0" fontId="9" fillId="23" borderId="5" xfId="0" applyFont="1" applyFill="1" applyBorder="1" applyAlignment="1">
      <alignment horizontal="center"/>
    </xf>
    <xf numFmtId="0" fontId="4" fillId="4" borderId="48" xfId="5" applyBorder="1" applyAlignment="1">
      <alignment horizontal="center"/>
    </xf>
    <xf numFmtId="0" fontId="0" fillId="0" borderId="5" xfId="0" applyBorder="1" applyAlignment="1">
      <alignment horizontal="center"/>
    </xf>
    <xf numFmtId="0" fontId="4" fillId="4" borderId="51" xfId="5" applyBorder="1" applyAlignment="1">
      <alignment horizontal="center"/>
    </xf>
    <xf numFmtId="0" fontId="4" fillId="4" borderId="49" xfId="5" applyBorder="1" applyAlignment="1">
      <alignment horizontal="center"/>
    </xf>
    <xf numFmtId="0" fontId="4" fillId="4" borderId="6" xfId="5" applyBorder="1" applyAlignment="1">
      <alignment horizontal="center"/>
    </xf>
    <xf numFmtId="0" fontId="9" fillId="9" borderId="52" xfId="11" applyFont="1" applyBorder="1" applyAlignment="1">
      <alignment horizontal="center"/>
    </xf>
    <xf numFmtId="0" fontId="9" fillId="9" borderId="50" xfId="11" applyFont="1" applyBorder="1" applyAlignment="1">
      <alignment horizontal="center"/>
    </xf>
    <xf numFmtId="0" fontId="0" fillId="0" borderId="50" xfId="0" applyBorder="1"/>
    <xf numFmtId="0" fontId="10" fillId="0" borderId="50" xfId="0" applyFont="1" applyBorder="1"/>
    <xf numFmtId="0" fontId="2" fillId="2" borderId="0" xfId="3" applyBorder="1"/>
    <xf numFmtId="0" fontId="12" fillId="2" borderId="0" xfId="3" applyFont="1" applyAlignment="1">
      <alignment horizontal="center"/>
    </xf>
    <xf numFmtId="0" fontId="10" fillId="0" borderId="0" xfId="0" applyFont="1" applyAlignment="1">
      <alignment horizontal="center"/>
    </xf>
    <xf numFmtId="0" fontId="0" fillId="0" borderId="5" xfId="0" applyFont="1" applyBorder="1"/>
    <xf numFmtId="0" fontId="0" fillId="0" borderId="0" xfId="0" applyFont="1"/>
    <xf numFmtId="0" fontId="5" fillId="5" borderId="60" xfId="6" applyBorder="1"/>
    <xf numFmtId="0" fontId="5" fillId="5" borderId="61" xfId="6" applyBorder="1"/>
    <xf numFmtId="0" fontId="0" fillId="0" borderId="0" xfId="0" applyFont="1" applyAlignment="1">
      <alignment horizontal="center"/>
    </xf>
    <xf numFmtId="0" fontId="2" fillId="2" borderId="0" xfId="3" applyFont="1" applyBorder="1" applyAlignment="1" applyProtection="1">
      <alignment horizontal="center"/>
      <protection locked="0"/>
    </xf>
    <xf numFmtId="0" fontId="2" fillId="2" borderId="20" xfId="3" applyFont="1" applyBorder="1" applyAlignment="1" applyProtection="1">
      <alignment horizontal="center"/>
      <protection locked="0"/>
    </xf>
    <xf numFmtId="166" fontId="8" fillId="8" borderId="21" xfId="10" applyNumberFormat="1" applyFont="1" applyBorder="1" applyAlignment="1" applyProtection="1">
      <alignment horizontal="center"/>
    </xf>
    <xf numFmtId="166" fontId="0" fillId="0" borderId="0" xfId="0" applyNumberFormat="1"/>
    <xf numFmtId="166" fontId="0" fillId="0" borderId="0" xfId="0" applyNumberFormat="1" applyBorder="1"/>
    <xf numFmtId="0" fontId="15" fillId="3" borderId="14" xfId="4" applyFont="1" applyBorder="1" applyAlignment="1" applyProtection="1">
      <alignment horizontal="center" textRotation="90"/>
    </xf>
    <xf numFmtId="0" fontId="10" fillId="0" borderId="0" xfId="0" applyFont="1" applyAlignment="1">
      <alignment horizontal="center" textRotation="90"/>
    </xf>
    <xf numFmtId="0" fontId="0" fillId="0" borderId="0" xfId="0" applyFont="1" applyAlignment="1">
      <alignment horizontal="center" textRotation="90"/>
    </xf>
    <xf numFmtId="0" fontId="13" fillId="5" borderId="9" xfId="6" applyFont="1" applyBorder="1" applyAlignment="1" applyProtection="1">
      <alignment horizontal="center" textRotation="90"/>
    </xf>
    <xf numFmtId="0" fontId="7" fillId="8" borderId="4" xfId="10" applyFont="1" applyAlignment="1" applyProtection="1">
      <alignment horizontal="center" textRotation="90"/>
    </xf>
    <xf numFmtId="1" fontId="0" fillId="0" borderId="0" xfId="0" applyNumberFormat="1" applyAlignment="1">
      <alignment horizontal="center" textRotation="90"/>
    </xf>
    <xf numFmtId="0" fontId="12" fillId="2" borderId="0" xfId="3" applyFont="1" applyAlignment="1" applyProtection="1">
      <alignment horizontal="center" textRotation="90"/>
      <protection locked="0"/>
    </xf>
    <xf numFmtId="0" fontId="7" fillId="6" borderId="1" xfId="8" applyAlignment="1" applyProtection="1">
      <alignment horizontal="center" textRotation="90"/>
    </xf>
    <xf numFmtId="2" fontId="7" fillId="8" borderId="4" xfId="10" applyNumberFormat="1" applyFont="1" applyAlignment="1" applyProtection="1">
      <alignment horizontal="center" textRotation="90"/>
    </xf>
    <xf numFmtId="166" fontId="7" fillId="8" borderId="4" xfId="10" applyNumberFormat="1" applyFont="1" applyAlignment="1" applyProtection="1">
      <alignment horizontal="center" textRotation="90"/>
    </xf>
    <xf numFmtId="0" fontId="12" fillId="2" borderId="0" xfId="3" applyFont="1" applyBorder="1" applyAlignment="1" applyProtection="1">
      <alignment horizontal="center" textRotation="90"/>
      <protection locked="0"/>
    </xf>
    <xf numFmtId="0" fontId="7" fillId="8" borderId="15" xfId="10" applyFont="1" applyBorder="1" applyAlignment="1" applyProtection="1">
      <alignment horizontal="center" textRotation="90"/>
    </xf>
    <xf numFmtId="166" fontId="7" fillId="8" borderId="59" xfId="10" applyNumberFormat="1" applyFont="1" applyBorder="1" applyAlignment="1" applyProtection="1">
      <alignment horizontal="center" textRotation="90"/>
    </xf>
    <xf numFmtId="0" fontId="5" fillId="5" borderId="60" xfId="6" applyBorder="1" applyAlignment="1" applyProtection="1">
      <alignment horizontal="center" textRotation="90"/>
    </xf>
    <xf numFmtId="0" fontId="5" fillId="5" borderId="1" xfId="6" applyAlignment="1" applyProtection="1">
      <alignment horizontal="center" textRotation="90"/>
    </xf>
    <xf numFmtId="1" fontId="7" fillId="6" borderId="11" xfId="8" applyNumberFormat="1" applyBorder="1" applyAlignment="1" applyProtection="1">
      <alignment horizontal="center" textRotation="90"/>
    </xf>
    <xf numFmtId="0" fontId="3" fillId="3" borderId="0" xfId="4" applyFont="1" applyBorder="1" applyAlignment="1" applyProtection="1">
      <alignment horizontal="center"/>
    </xf>
    <xf numFmtId="0" fontId="5" fillId="5" borderId="1" xfId="6" applyNumberFormat="1" applyFont="1" applyAlignment="1" applyProtection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 textRotation="90"/>
    </xf>
    <xf numFmtId="164" fontId="0" fillId="0" borderId="0" xfId="2" applyNumberFormat="1" applyFont="1" applyAlignment="1">
      <alignment horizontal="center" textRotation="90"/>
    </xf>
    <xf numFmtId="0" fontId="5" fillId="5" borderId="7" xfId="6" applyBorder="1" applyAlignment="1">
      <alignment horizontal="center" textRotation="180"/>
    </xf>
    <xf numFmtId="0" fontId="5" fillId="5" borderId="1" xfId="6" applyAlignment="1">
      <alignment horizontal="center" textRotation="180"/>
    </xf>
    <xf numFmtId="9" fontId="5" fillId="5" borderId="1" xfId="6" applyNumberFormat="1" applyAlignment="1">
      <alignment horizontal="center" textRotation="180"/>
    </xf>
    <xf numFmtId="1" fontId="5" fillId="5" borderId="1" xfId="6" applyNumberFormat="1" applyAlignment="1">
      <alignment horizontal="center" textRotation="180"/>
    </xf>
    <xf numFmtId="0" fontId="5" fillId="5" borderId="8" xfId="6" applyBorder="1" applyAlignment="1">
      <alignment horizontal="center" textRotation="180"/>
    </xf>
    <xf numFmtId="0" fontId="5" fillId="5" borderId="9" xfId="6" applyBorder="1" applyAlignment="1">
      <alignment horizontal="center" textRotation="180"/>
    </xf>
    <xf numFmtId="9" fontId="5" fillId="5" borderId="10" xfId="6" applyNumberFormat="1" applyBorder="1" applyAlignment="1">
      <alignment horizontal="center" textRotation="180"/>
    </xf>
    <xf numFmtId="0" fontId="5" fillId="5" borderId="11" xfId="6" applyBorder="1" applyAlignment="1">
      <alignment horizontal="center" textRotation="180"/>
    </xf>
    <xf numFmtId="9" fontId="0" fillId="0" borderId="0" xfId="0" applyNumberFormat="1" applyAlignment="1">
      <alignment horizontal="center"/>
    </xf>
    <xf numFmtId="0" fontId="0" fillId="0" borderId="13" xfId="0" applyBorder="1" applyAlignment="1">
      <alignment horizontal="center"/>
    </xf>
    <xf numFmtId="0" fontId="0" fillId="0" borderId="25" xfId="0" applyBorder="1"/>
    <xf numFmtId="0" fontId="0" fillId="0" borderId="63" xfId="0" applyBorder="1" applyAlignment="1">
      <alignment horizontal="center"/>
    </xf>
    <xf numFmtId="0" fontId="0" fillId="0" borderId="62" xfId="0" applyBorder="1" applyAlignment="1">
      <alignment horizontal="center"/>
    </xf>
    <xf numFmtId="0" fontId="9" fillId="7" borderId="28" xfId="9" applyFont="1" applyFill="1" applyBorder="1" applyAlignment="1">
      <alignment horizontal="center"/>
    </xf>
    <xf numFmtId="0" fontId="9" fillId="7" borderId="27" xfId="9" applyFont="1" applyFill="1" applyBorder="1" applyAlignment="1">
      <alignment horizontal="center"/>
    </xf>
    <xf numFmtId="0" fontId="4" fillId="4" borderId="48" xfId="5" applyFont="1" applyFill="1" applyBorder="1" applyAlignment="1">
      <alignment horizontal="center"/>
    </xf>
    <xf numFmtId="0" fontId="0" fillId="10" borderId="35" xfId="0" applyFont="1" applyFill="1" applyBorder="1" applyAlignment="1">
      <alignment horizontal="center"/>
    </xf>
    <xf numFmtId="0" fontId="0" fillId="10" borderId="36" xfId="0" applyFont="1" applyFill="1" applyBorder="1" applyAlignment="1">
      <alignment horizontal="center"/>
    </xf>
    <xf numFmtId="0" fontId="0" fillId="11" borderId="64" xfId="0" applyFont="1" applyFill="1" applyBorder="1" applyAlignment="1">
      <alignment horizontal="center"/>
    </xf>
    <xf numFmtId="0" fontId="0" fillId="11" borderId="36" xfId="0" applyFont="1" applyFill="1" applyBorder="1" applyAlignment="1">
      <alignment horizontal="center"/>
    </xf>
    <xf numFmtId="0" fontId="0" fillId="12" borderId="64" xfId="0" applyFont="1" applyFill="1" applyBorder="1" applyAlignment="1">
      <alignment horizontal="center"/>
    </xf>
    <xf numFmtId="0" fontId="0" fillId="13" borderId="36" xfId="0" applyFont="1" applyFill="1" applyBorder="1" applyAlignment="1">
      <alignment horizontal="center"/>
    </xf>
    <xf numFmtId="0" fontId="0" fillId="0" borderId="65" xfId="0" applyFont="1" applyBorder="1" applyAlignment="1">
      <alignment horizontal="center"/>
    </xf>
    <xf numFmtId="0" fontId="0" fillId="0" borderId="36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4" fillId="4" borderId="66" xfId="5" applyFont="1" applyFill="1" applyBorder="1" applyAlignment="1">
      <alignment horizontal="center"/>
    </xf>
    <xf numFmtId="0" fontId="4" fillId="4" borderId="49" xfId="5" applyFont="1" applyFill="1" applyBorder="1" applyAlignment="1">
      <alignment horizontal="center"/>
    </xf>
    <xf numFmtId="0" fontId="0" fillId="10" borderId="53" xfId="0" applyFont="1" applyFill="1" applyBorder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0" fillId="11" borderId="47" xfId="0" applyFont="1" applyFill="1" applyBorder="1" applyAlignment="1">
      <alignment horizontal="center"/>
    </xf>
    <xf numFmtId="0" fontId="0" fillId="11" borderId="5" xfId="0" applyFont="1" applyFill="1" applyBorder="1" applyAlignment="1">
      <alignment horizontal="center"/>
    </xf>
    <xf numFmtId="0" fontId="0" fillId="12" borderId="47" xfId="0" applyFont="1" applyFill="1" applyBorder="1" applyAlignment="1">
      <alignment horizontal="center"/>
    </xf>
    <xf numFmtId="0" fontId="0" fillId="13" borderId="5" xfId="0" applyFont="1" applyFill="1" applyBorder="1" applyAlignment="1">
      <alignment horizontal="center"/>
    </xf>
    <xf numFmtId="0" fontId="0" fillId="0" borderId="24" xfId="0" applyFont="1" applyBorder="1" applyAlignment="1">
      <alignment horizontal="center"/>
    </xf>
    <xf numFmtId="0" fontId="0" fillId="0" borderId="29" xfId="0" applyFont="1" applyBorder="1" applyAlignment="1">
      <alignment horizontal="center"/>
    </xf>
    <xf numFmtId="0" fontId="0" fillId="0" borderId="67" xfId="0" applyFont="1" applyBorder="1" applyAlignment="1">
      <alignment horizontal="center"/>
    </xf>
    <xf numFmtId="0" fontId="6" fillId="6" borderId="24" xfId="7" applyFont="1" applyFill="1" applyBorder="1" applyAlignment="1">
      <alignment horizontal="center"/>
    </xf>
    <xf numFmtId="0" fontId="6" fillId="6" borderId="68" xfId="7" applyFont="1" applyFill="1" applyBorder="1" applyAlignment="1">
      <alignment horizontal="center"/>
    </xf>
    <xf numFmtId="0" fontId="6" fillId="6" borderId="69" xfId="7" applyFont="1" applyFill="1" applyBorder="1" applyAlignment="1">
      <alignment horizontal="center"/>
    </xf>
    <xf numFmtId="0" fontId="9" fillId="7" borderId="35" xfId="9" applyFont="1" applyFill="1" applyBorder="1" applyAlignment="1">
      <alignment horizontal="center"/>
    </xf>
    <xf numFmtId="0" fontId="9" fillId="7" borderId="64" xfId="9" applyFont="1" applyFill="1" applyBorder="1" applyAlignment="1">
      <alignment horizontal="center"/>
    </xf>
    <xf numFmtId="0" fontId="6" fillId="6" borderId="70" xfId="7" applyFont="1" applyFill="1" applyBorder="1" applyAlignment="1">
      <alignment horizontal="center"/>
    </xf>
    <xf numFmtId="0" fontId="0" fillId="14" borderId="33" xfId="0" applyFont="1" applyFill="1" applyBorder="1" applyAlignment="1">
      <alignment horizontal="center"/>
    </xf>
    <xf numFmtId="0" fontId="9" fillId="7" borderId="42" xfId="9" applyFont="1" applyFill="1" applyBorder="1" applyAlignment="1">
      <alignment horizontal="center"/>
    </xf>
    <xf numFmtId="0" fontId="0" fillId="14" borderId="5" xfId="0" applyFont="1" applyFill="1" applyBorder="1" applyAlignment="1">
      <alignment horizontal="center"/>
    </xf>
    <xf numFmtId="0" fontId="0" fillId="0" borderId="69" xfId="0" applyFont="1" applyBorder="1" applyAlignment="1">
      <alignment horizontal="center"/>
    </xf>
    <xf numFmtId="0" fontId="6" fillId="6" borderId="71" xfId="7" applyFont="1" applyFill="1" applyBorder="1" applyAlignment="1">
      <alignment horizontal="center"/>
    </xf>
    <xf numFmtId="0" fontId="0" fillId="14" borderId="72" xfId="0" applyFont="1" applyFill="1" applyBorder="1" applyAlignment="1">
      <alignment horizontal="center"/>
    </xf>
    <xf numFmtId="0" fontId="0" fillId="15" borderId="5" xfId="0" applyFont="1" applyFill="1" applyBorder="1" applyAlignment="1">
      <alignment horizontal="center"/>
    </xf>
    <xf numFmtId="0" fontId="0" fillId="0" borderId="42" xfId="0" applyFont="1" applyBorder="1" applyAlignment="1">
      <alignment horizontal="center"/>
    </xf>
    <xf numFmtId="0" fontId="6" fillId="6" borderId="35" xfId="7" applyFont="1" applyFill="1" applyBorder="1" applyAlignment="1">
      <alignment horizontal="center"/>
    </xf>
    <xf numFmtId="0" fontId="6" fillId="6" borderId="73" xfId="7" applyFont="1" applyFill="1" applyBorder="1" applyAlignment="1">
      <alignment horizontal="center"/>
    </xf>
    <xf numFmtId="0" fontId="6" fillId="6" borderId="36" xfId="7" applyFont="1" applyFill="1" applyBorder="1" applyAlignment="1">
      <alignment horizontal="center"/>
    </xf>
    <xf numFmtId="0" fontId="0" fillId="0" borderId="53" xfId="0" applyFont="1" applyBorder="1" applyAlignment="1">
      <alignment horizontal="center"/>
    </xf>
    <xf numFmtId="0" fontId="0" fillId="0" borderId="35" xfId="0" applyFont="1" applyBorder="1" applyAlignment="1">
      <alignment horizontal="center"/>
    </xf>
    <xf numFmtId="0" fontId="0" fillId="16" borderId="5" xfId="0" applyFont="1" applyFill="1" applyBorder="1" applyAlignment="1">
      <alignment horizontal="center"/>
    </xf>
    <xf numFmtId="0" fontId="0" fillId="17" borderId="5" xfId="0" applyFont="1" applyFill="1" applyBorder="1" applyAlignment="1">
      <alignment horizontal="center"/>
    </xf>
    <xf numFmtId="0" fontId="0" fillId="12" borderId="33" xfId="0" applyFont="1" applyFill="1" applyBorder="1" applyAlignment="1">
      <alignment horizontal="center"/>
    </xf>
    <xf numFmtId="0" fontId="0" fillId="12" borderId="5" xfId="0" applyFont="1" applyFill="1" applyBorder="1" applyAlignment="1">
      <alignment horizontal="center"/>
    </xf>
    <xf numFmtId="0" fontId="0" fillId="10" borderId="41" xfId="0" applyFont="1" applyFill="1" applyBorder="1" applyAlignment="1">
      <alignment horizontal="center"/>
    </xf>
    <xf numFmtId="0" fontId="0" fillId="10" borderId="30" xfId="0" applyFont="1" applyFill="1" applyBorder="1" applyAlignment="1">
      <alignment horizontal="center"/>
    </xf>
    <xf numFmtId="0" fontId="0" fillId="10" borderId="72" xfId="0" applyFont="1" applyFill="1" applyBorder="1" applyAlignment="1">
      <alignment horizontal="center"/>
    </xf>
    <xf numFmtId="0" fontId="0" fillId="0" borderId="31" xfId="0" applyFont="1" applyBorder="1" applyAlignment="1">
      <alignment horizontal="center"/>
    </xf>
    <xf numFmtId="0" fontId="0" fillId="0" borderId="32" xfId="0" applyFont="1" applyBorder="1" applyAlignment="1">
      <alignment horizontal="center"/>
    </xf>
    <xf numFmtId="0" fontId="0" fillId="0" borderId="74" xfId="0" applyFont="1" applyBorder="1" applyAlignment="1">
      <alignment horizontal="center"/>
    </xf>
    <xf numFmtId="0" fontId="0" fillId="0" borderId="75" xfId="0" applyFont="1" applyBorder="1" applyAlignment="1">
      <alignment horizontal="center"/>
    </xf>
    <xf numFmtId="0" fontId="0" fillId="0" borderId="55" xfId="0" applyFont="1" applyBorder="1" applyAlignment="1">
      <alignment horizontal="center"/>
    </xf>
    <xf numFmtId="0" fontId="0" fillId="0" borderId="73" xfId="0" applyFont="1" applyBorder="1" applyAlignment="1">
      <alignment horizontal="center"/>
    </xf>
    <xf numFmtId="0" fontId="0" fillId="0" borderId="76" xfId="0" applyFont="1" applyBorder="1" applyAlignment="1">
      <alignment horizontal="center"/>
    </xf>
    <xf numFmtId="0" fontId="0" fillId="20" borderId="77" xfId="12" applyNumberFormat="1" applyFont="1" applyFill="1" applyBorder="1" applyAlignment="1">
      <alignment horizontal="center"/>
    </xf>
    <xf numFmtId="0" fontId="0" fillId="20" borderId="36" xfId="0" applyFont="1" applyFill="1" applyBorder="1" applyAlignment="1">
      <alignment horizontal="center"/>
    </xf>
    <xf numFmtId="0" fontId="0" fillId="20" borderId="78" xfId="13" applyNumberFormat="1" applyFont="1" applyFill="1" applyBorder="1" applyAlignment="1">
      <alignment horizontal="center"/>
    </xf>
    <xf numFmtId="0" fontId="0" fillId="20" borderId="78" xfId="15" applyNumberFormat="1" applyFont="1" applyFill="1" applyBorder="1" applyAlignment="1">
      <alignment horizontal="center"/>
    </xf>
    <xf numFmtId="0" fontId="2" fillId="2" borderId="35" xfId="3" applyFont="1" applyFill="1" applyBorder="1" applyAlignment="1">
      <alignment horizontal="center"/>
    </xf>
    <xf numFmtId="0" fontId="2" fillId="2" borderId="79" xfId="3" applyFont="1" applyFill="1" applyBorder="1" applyAlignment="1">
      <alignment horizontal="center"/>
    </xf>
    <xf numFmtId="0" fontId="0" fillId="0" borderId="80" xfId="0" applyFont="1" applyBorder="1" applyAlignment="1">
      <alignment horizontal="center"/>
    </xf>
    <xf numFmtId="0" fontId="0" fillId="0" borderId="70" xfId="0" applyFont="1" applyBorder="1"/>
    <xf numFmtId="0" fontId="0" fillId="0" borderId="76" xfId="0" applyFont="1" applyBorder="1"/>
    <xf numFmtId="0" fontId="10" fillId="21" borderId="24" xfId="14" applyNumberFormat="1" applyFont="1" applyFill="1" applyBorder="1" applyAlignment="1">
      <alignment horizontal="center"/>
    </xf>
    <xf numFmtId="0" fontId="9" fillId="11" borderId="40" xfId="9" applyFont="1" applyFill="1" applyBorder="1" applyAlignment="1">
      <alignment horizontal="center"/>
    </xf>
    <xf numFmtId="0" fontId="9" fillId="11" borderId="36" xfId="9" applyFont="1" applyFill="1" applyBorder="1" applyAlignment="1">
      <alignment horizontal="center"/>
    </xf>
    <xf numFmtId="0" fontId="9" fillId="11" borderId="44" xfId="9" applyFont="1" applyFill="1" applyBorder="1" applyAlignment="1">
      <alignment horizontal="center"/>
    </xf>
    <xf numFmtId="0" fontId="10" fillId="21" borderId="41" xfId="0" applyFont="1" applyFill="1" applyBorder="1" applyAlignment="1">
      <alignment horizontal="center"/>
    </xf>
    <xf numFmtId="0" fontId="0" fillId="0" borderId="30" xfId="0" applyFont="1" applyBorder="1" applyAlignment="1">
      <alignment horizontal="center"/>
    </xf>
    <xf numFmtId="0" fontId="2" fillId="2" borderId="53" xfId="3" applyFont="1" applyFill="1" applyBorder="1" applyAlignment="1">
      <alignment horizontal="center"/>
    </xf>
    <xf numFmtId="0" fontId="2" fillId="2" borderId="72" xfId="3" applyFont="1" applyFill="1" applyBorder="1" applyAlignment="1">
      <alignment horizontal="center"/>
    </xf>
    <xf numFmtId="0" fontId="0" fillId="0" borderId="36" xfId="0" applyFont="1" applyBorder="1"/>
    <xf numFmtId="0" fontId="10" fillId="21" borderId="81" xfId="14" applyNumberFormat="1" applyFont="1" applyFill="1" applyBorder="1" applyAlignment="1">
      <alignment horizontal="center"/>
    </xf>
    <xf numFmtId="0" fontId="9" fillId="11" borderId="82" xfId="9" applyFont="1" applyFill="1" applyBorder="1" applyAlignment="1">
      <alignment horizontal="center"/>
    </xf>
    <xf numFmtId="0" fontId="9" fillId="11" borderId="5" xfId="9" applyFont="1" applyFill="1" applyBorder="1" applyAlignment="1">
      <alignment horizontal="center"/>
    </xf>
    <xf numFmtId="0" fontId="10" fillId="21" borderId="56" xfId="14" applyNumberFormat="1" applyFont="1" applyFill="1" applyBorder="1" applyAlignment="1">
      <alignment horizontal="center"/>
    </xf>
    <xf numFmtId="0" fontId="2" fillId="2" borderId="5" xfId="3" applyFont="1" applyFill="1" applyBorder="1" applyAlignment="1">
      <alignment horizontal="center"/>
    </xf>
    <xf numFmtId="0" fontId="6" fillId="19" borderId="35" xfId="7" applyFont="1" applyFill="1" applyBorder="1" applyAlignment="1">
      <alignment horizontal="center"/>
    </xf>
    <xf numFmtId="0" fontId="6" fillId="19" borderId="36" xfId="7" applyFont="1" applyFill="1" applyBorder="1" applyAlignment="1">
      <alignment horizontal="center"/>
    </xf>
    <xf numFmtId="0" fontId="6" fillId="6" borderId="29" xfId="7" applyFont="1" applyFill="1" applyBorder="1" applyAlignment="1">
      <alignment horizontal="center"/>
    </xf>
    <xf numFmtId="0" fontId="7" fillId="6" borderId="83" xfId="8" applyFont="1" applyFill="1" applyBorder="1" applyAlignment="1">
      <alignment horizontal="center"/>
    </xf>
    <xf numFmtId="0" fontId="0" fillId="0" borderId="58" xfId="0" applyFont="1" applyBorder="1"/>
    <xf numFmtId="0" fontId="0" fillId="20" borderId="5" xfId="16" applyNumberFormat="1" applyFont="1" applyFill="1" applyBorder="1" applyAlignment="1">
      <alignment horizontal="center"/>
    </xf>
    <xf numFmtId="0" fontId="0" fillId="20" borderId="5" xfId="12" applyNumberFormat="1" applyFont="1" applyFill="1" applyBorder="1" applyAlignment="1">
      <alignment horizontal="center"/>
    </xf>
    <xf numFmtId="0" fontId="4" fillId="4" borderId="84" xfId="5" applyFont="1" applyFill="1" applyBorder="1" applyAlignment="1">
      <alignment horizontal="center"/>
    </xf>
    <xf numFmtId="0" fontId="9" fillId="7" borderId="26" xfId="9" applyFont="1" applyFill="1" applyBorder="1" applyAlignment="1">
      <alignment horizontal="center"/>
    </xf>
    <xf numFmtId="0" fontId="9" fillId="9" borderId="85" xfId="11" applyFont="1" applyFill="1" applyBorder="1" applyAlignment="1">
      <alignment horizontal="center"/>
    </xf>
    <xf numFmtId="0" fontId="9" fillId="9" borderId="86" xfId="11" applyFont="1" applyFill="1" applyBorder="1" applyAlignment="1">
      <alignment horizontal="center"/>
    </xf>
    <xf numFmtId="0" fontId="9" fillId="9" borderId="50" xfId="11" applyFont="1" applyFill="1" applyBorder="1" applyAlignment="1">
      <alignment horizontal="center"/>
    </xf>
    <xf numFmtId="0" fontId="9" fillId="9" borderId="87" xfId="11" applyFont="1" applyFill="1" applyBorder="1" applyAlignment="1">
      <alignment horizontal="center"/>
    </xf>
    <xf numFmtId="0" fontId="9" fillId="7" borderId="3" xfId="9" applyFont="1" applyFill="1" applyBorder="1" applyAlignment="1">
      <alignment horizontal="center"/>
    </xf>
    <xf numFmtId="0" fontId="4" fillId="4" borderId="51" xfId="5" applyFont="1" applyFill="1" applyBorder="1" applyAlignment="1">
      <alignment horizontal="center"/>
    </xf>
    <xf numFmtId="0" fontId="4" fillId="4" borderId="6" xfId="5" applyFont="1" applyFill="1" applyBorder="1" applyAlignment="1">
      <alignment horizontal="center"/>
    </xf>
    <xf numFmtId="0" fontId="9" fillId="18" borderId="88" xfId="0" applyFont="1" applyFill="1" applyBorder="1" applyAlignment="1">
      <alignment horizontal="center"/>
    </xf>
    <xf numFmtId="0" fontId="9" fillId="18" borderId="35" xfId="0" applyFont="1" applyFill="1" applyBorder="1" applyAlignment="1">
      <alignment horizontal="center"/>
    </xf>
    <xf numFmtId="0" fontId="0" fillId="0" borderId="54" xfId="0" applyFont="1" applyBorder="1" applyAlignment="1">
      <alignment horizontal="center"/>
    </xf>
    <xf numFmtId="0" fontId="9" fillId="18" borderId="64" xfId="0" applyFont="1" applyFill="1" applyBorder="1" applyAlignment="1">
      <alignment horizontal="center"/>
    </xf>
    <xf numFmtId="0" fontId="0" fillId="0" borderId="88" xfId="0" applyFont="1" applyBorder="1" applyAlignment="1">
      <alignment horizontal="center"/>
    </xf>
    <xf numFmtId="0" fontId="9" fillId="18" borderId="56" xfId="0" applyFont="1" applyFill="1" applyBorder="1" applyAlignment="1">
      <alignment horizontal="center"/>
    </xf>
    <xf numFmtId="0" fontId="9" fillId="18" borderId="89" xfId="0" applyFont="1" applyFill="1" applyBorder="1" applyAlignment="1">
      <alignment horizontal="center"/>
    </xf>
    <xf numFmtId="0" fontId="4" fillId="4" borderId="54" xfId="5" applyFont="1" applyFill="1" applyBorder="1" applyAlignment="1">
      <alignment horizontal="center"/>
    </xf>
    <xf numFmtId="0" fontId="0" fillId="0" borderId="56" xfId="0" applyFont="1" applyBorder="1" applyAlignment="1">
      <alignment horizontal="center"/>
    </xf>
    <xf numFmtId="0" fontId="7" fillId="6" borderId="90" xfId="8" applyFont="1" applyFill="1" applyBorder="1" applyAlignment="1">
      <alignment horizontal="center"/>
    </xf>
    <xf numFmtId="0" fontId="2" fillId="2" borderId="90" xfId="3" applyFont="1" applyFill="1" applyBorder="1" applyAlignment="1">
      <alignment horizontal="center"/>
    </xf>
    <xf numFmtId="0" fontId="9" fillId="9" borderId="52" xfId="11" applyFont="1" applyFill="1" applyBorder="1" applyAlignment="1">
      <alignment horizontal="center"/>
    </xf>
    <xf numFmtId="0" fontId="3" fillId="3" borderId="5" xfId="4" applyFont="1" applyFill="1" applyBorder="1" applyAlignment="1">
      <alignment horizontal="center"/>
    </xf>
    <xf numFmtId="0" fontId="3" fillId="3" borderId="5" xfId="4" applyFont="1" applyFill="1" applyBorder="1"/>
    <xf numFmtId="0" fontId="0" fillId="0" borderId="35" xfId="0" applyFont="1" applyBorder="1"/>
    <xf numFmtId="0" fontId="3" fillId="3" borderId="53" xfId="4" applyFont="1" applyFill="1" applyBorder="1"/>
    <xf numFmtId="0" fontId="0" fillId="22" borderId="53" xfId="18" applyFont="1" applyFill="1" applyBorder="1" applyAlignment="1">
      <alignment horizontal="center"/>
    </xf>
    <xf numFmtId="0" fontId="0" fillId="0" borderId="53" xfId="0" applyFont="1" applyBorder="1"/>
    <xf numFmtId="0" fontId="6" fillId="6" borderId="71" xfId="7" applyFont="1" applyFill="1" applyBorder="1"/>
    <xf numFmtId="0" fontId="0" fillId="22" borderId="56" xfId="18" applyFont="1" applyFill="1" applyBorder="1" applyAlignment="1">
      <alignment horizontal="center"/>
    </xf>
    <xf numFmtId="0" fontId="6" fillId="6" borderId="73" xfId="7" applyFont="1" applyFill="1" applyBorder="1"/>
    <xf numFmtId="0" fontId="0" fillId="0" borderId="56" xfId="0" applyFont="1" applyBorder="1"/>
    <xf numFmtId="0" fontId="0" fillId="0" borderId="57" xfId="0" applyFont="1" applyBorder="1"/>
    <xf numFmtId="0" fontId="0" fillId="22" borderId="35" xfId="18" applyFont="1" applyFill="1" applyBorder="1"/>
    <xf numFmtId="0" fontId="0" fillId="22" borderId="36" xfId="18" applyFont="1" applyFill="1" applyBorder="1"/>
    <xf numFmtId="0" fontId="0" fillId="22" borderId="36" xfId="18" applyFont="1" applyFill="1" applyBorder="1" applyAlignment="1">
      <alignment horizontal="center"/>
    </xf>
    <xf numFmtId="0" fontId="3" fillId="3" borderId="53" xfId="4" applyFont="1" applyFill="1" applyBorder="1" applyAlignment="1">
      <alignment horizontal="center"/>
    </xf>
    <xf numFmtId="0" fontId="0" fillId="22" borderId="53" xfId="18" applyFont="1" applyFill="1" applyBorder="1"/>
    <xf numFmtId="0" fontId="2" fillId="2" borderId="5" xfId="3" applyFont="1" applyFill="1" applyBorder="1"/>
    <xf numFmtId="0" fontId="0" fillId="22" borderId="5" xfId="18" applyFont="1" applyFill="1" applyBorder="1" applyAlignment="1">
      <alignment horizontal="center"/>
    </xf>
    <xf numFmtId="0" fontId="0" fillId="22" borderId="35" xfId="18" applyFont="1" applyFill="1" applyBorder="1" applyAlignment="1">
      <alignment horizontal="center"/>
    </xf>
    <xf numFmtId="0" fontId="9" fillId="18" borderId="54" xfId="0" applyFont="1" applyFill="1" applyBorder="1" applyAlignment="1">
      <alignment horizontal="center"/>
    </xf>
    <xf numFmtId="0" fontId="9" fillId="18" borderId="91" xfId="0" applyFont="1" applyFill="1" applyBorder="1" applyAlignment="1">
      <alignment horizontal="center"/>
    </xf>
    <xf numFmtId="0" fontId="3" fillId="3" borderId="36" xfId="4" applyFont="1" applyFill="1" applyBorder="1" applyAlignment="1">
      <alignment horizontal="center"/>
    </xf>
    <xf numFmtId="0" fontId="9" fillId="23" borderId="6" xfId="0" applyFont="1" applyFill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9" fillId="7" borderId="33" xfId="9" applyFont="1" applyFill="1" applyBorder="1" applyAlignment="1">
      <alignment horizontal="center"/>
    </xf>
    <xf numFmtId="0" fontId="4" fillId="4" borderId="33" xfId="5" applyFont="1" applyFill="1" applyBorder="1" applyAlignment="1">
      <alignment horizontal="center"/>
    </xf>
    <xf numFmtId="0" fontId="4" fillId="4" borderId="5" xfId="5" applyFont="1" applyFill="1" applyBorder="1" applyAlignment="1">
      <alignment horizontal="center"/>
    </xf>
    <xf numFmtId="0" fontId="17" fillId="2" borderId="36" xfId="3" applyFont="1" applyBorder="1" applyAlignment="1">
      <alignment horizontal="center"/>
    </xf>
    <xf numFmtId="0" fontId="10" fillId="2" borderId="12" xfId="3" applyFont="1" applyBorder="1" applyAlignment="1">
      <alignment horizontal="center" vertical="center" textRotation="90"/>
    </xf>
  </cellXfs>
  <cellStyles count="19">
    <cellStyle name="60% - Accent1" xfId="18" builtinId="32"/>
    <cellStyle name="Accent1" xfId="11" builtinId="29"/>
    <cellStyle name="Bad" xfId="4" builtinId="27"/>
    <cellStyle name="Calculation" xfId="8" builtinId="22"/>
    <cellStyle name="Check Cell" xfId="9" builtinId="23"/>
    <cellStyle name="Currency" xfId="1" builtinId="4"/>
    <cellStyle name="Door-Bottom" xfId="16" xr:uid="{C4EADF1A-5D39-4C3A-AED1-05C060474FD7}"/>
    <cellStyle name="Door-Left" xfId="12" xr:uid="{977EDE57-E2B5-4190-8290-EFEBE25E2B1B}"/>
    <cellStyle name="Door-LT" xfId="13" xr:uid="{E223C312-F2B5-491B-A9A1-C244E337D633}"/>
    <cellStyle name="Door-Right" xfId="17" xr:uid="{AD6E5E15-CEE8-491C-BB90-E16697DE1AA6}"/>
    <cellStyle name="Door-Top" xfId="15" xr:uid="{BE7F6EA7-1E88-446D-A18B-54A090ADEA3C}"/>
    <cellStyle name="Good" xfId="3" builtinId="26"/>
    <cellStyle name="Input" xfId="6" builtinId="20"/>
    <cellStyle name="Neutral" xfId="5" builtinId="28"/>
    <cellStyle name="NMS-Stairs-Horizontal" xfId="14" xr:uid="{AB634A42-EC13-4F32-A516-6435752EBC8E}"/>
    <cellStyle name="Normal" xfId="0" builtinId="0"/>
    <cellStyle name="Note" xfId="10" builtinId="10"/>
    <cellStyle name="Output" xfId="7" builtinId="21"/>
    <cellStyle name="Percent" xfId="2" builtinId="5"/>
  </cellStyles>
  <dxfs count="147">
    <dxf>
      <alignment horizontal="center" vertical="bottom" wrapText="0" indent="0" justifyLastLine="0" shrinkToFit="0" readingOrder="0"/>
      <border diagonalUp="0" diagonalDown="0" outline="0">
        <left/>
        <right style="mediumDashed">
          <color auto="1"/>
        </right>
        <top/>
        <bottom/>
      </border>
    </dxf>
    <dxf>
      <numFmt numFmtId="1" formatCode="0"/>
      <alignment horizontal="center" vertical="bottom" wrapText="0" indent="0" justifyLastLine="0" shrinkToFit="0" readingOrder="0"/>
    </dxf>
    <dxf>
      <numFmt numFmtId="1" formatCode="0"/>
      <alignment horizontal="center" vertical="bottom" wrapText="0" indent="0" justifyLastLine="0" shrinkToFit="0" readingOrder="0"/>
    </dxf>
    <dxf>
      <alignment horizontal="center" vertical="bottom" wrapText="0" indent="0" justifyLastLine="0" shrinkToFit="0" readingOrder="0"/>
    </dxf>
    <dxf>
      <numFmt numFmtId="13" formatCode="0%"/>
      <alignment horizontal="center" vertical="bottom" wrapText="0" indent="0" justifyLastLine="0" shrinkToFit="0" readingOrder="0"/>
    </dxf>
    <dxf>
      <alignment horizontal="center" vertical="bottom" wrapText="0" indent="0" justifyLastLine="0" shrinkToFit="0" readingOrder="0"/>
    </dxf>
    <dxf>
      <alignment horizontal="center" vertical="bottom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wrapText="0" indent="0" justifyLastLine="0" shrinkToFit="0" readingOrder="0"/>
    </dxf>
    <dxf>
      <alignment horizontal="center" vertical="bottom" wrapText="0" indent="0" justifyLastLine="0" shrinkToFit="0" readingOrder="0"/>
      <border diagonalUp="0" diagonalDown="0" outline="0">
        <left/>
        <right style="thick">
          <color theme="1"/>
        </right>
        <top/>
        <bottom/>
      </border>
    </dxf>
    <dxf>
      <border diagonalUp="0" diagonalDown="0">
        <left style="thick">
          <color theme="1"/>
        </left>
        <right style="thick">
          <color theme="1"/>
        </right>
        <top/>
        <bottom/>
        <vertical/>
        <horizontal/>
      </border>
    </dxf>
    <dxf>
      <numFmt numFmtId="2" formatCode="0.00"/>
      <border diagonalUp="0" diagonalDown="0">
        <left/>
        <right style="thick">
          <color auto="1"/>
        </right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alignment horizontal="center" vertical="bottom" wrapText="0" indent="0" justifyLastLine="0" shrinkToFit="0" readingOrder="0"/>
    </dxf>
    <dxf>
      <alignment horizontal="center" vertical="bottom" wrapText="0" indent="0" justifyLastLine="0" shrinkToFit="0" readingOrder="0"/>
    </dxf>
    <dxf>
      <alignment horizontal="center" vertical="bottom" wrapText="0" indent="0" justifyLastLine="0" shrinkToFit="0" readingOrder="0"/>
    </dxf>
    <dxf>
      <alignment horizontal="center" vertical="bottom" wrapText="0" indent="0" justifyLastLine="0" shrinkToFit="0" readingOrder="0"/>
    </dxf>
    <dxf>
      <alignment horizontal="center" vertical="bottom" wrapText="0" indent="0" justifyLastLine="0" shrinkToFit="0" readingOrder="0"/>
    </dxf>
    <dxf>
      <alignment horizontal="center" vertical="bottom" wrapText="0" indent="0" justifyLastLine="0" shrinkToFit="0" readingOrder="0"/>
    </dxf>
    <dxf>
      <alignment horizontal="center" vertical="bottom" wrapText="0" indent="0" justifyLastLine="0" shrinkToFit="0" readingOrder="0"/>
    </dxf>
    <dxf>
      <alignment horizontal="center" vertical="bottom" wrapText="0" indent="0" justifyLastLine="0" shrinkToFit="0" readingOrder="0"/>
    </dxf>
    <dxf>
      <alignment horizontal="center" vertical="bottom" wrapText="0" indent="0" justifyLastLine="0" shrinkToFit="0" readingOrder="0"/>
    </dxf>
    <dxf>
      <alignment horizontal="center" vertical="bottom" textRotation="90" wrapText="0" indent="0" justifyLastLine="0" shrinkToFit="0" readingOrder="0"/>
    </dxf>
    <dxf>
      <alignment horizontal="center" vertical="bottom" textRotation="0" wrapText="0" indent="0" justifyLastLine="0" shrinkToFit="0" readingOrder="0"/>
      <protection locked="1" hidden="0"/>
    </dxf>
    <dxf>
      <font>
        <b val="0"/>
      </font>
      <alignment horizontal="center" vertical="bottom" textRotation="0" wrapText="0" indent="0" justifyLastLine="0" shrinkToFit="0" readingOrder="0"/>
      <protection locked="0" hidden="0"/>
    </dxf>
    <dxf>
      <protection locked="1" hidden="0"/>
    </dxf>
    <dxf>
      <numFmt numFmtId="1" formatCode="0"/>
      <alignment horizontal="center" vertical="bottom" wrapText="0" indent="0" justifyLastLine="0" shrinkToFit="0" readingOrder="0"/>
      <border outline="0">
        <left style="thin">
          <color rgb="FFB2B2B2"/>
        </left>
      </border>
    </dxf>
    <dxf>
      <numFmt numFmtId="1" formatCode="0"/>
      <alignment horizontal="center" vertical="center" textRotation="0" wrapText="0" indent="0" justifyLastLine="0" shrinkToFit="0" readingOrder="0"/>
      <protection locked="1" hidden="0"/>
    </dxf>
    <dxf>
      <font>
        <b val="0"/>
      </font>
      <alignment horizontal="center" vertical="bottom" textRotation="0" wrapText="0" indent="0" justifyLastLine="0" shrinkToFit="0" readingOrder="0"/>
      <protection locked="1" hidden="0"/>
    </dxf>
    <dxf>
      <font>
        <b val="0"/>
      </font>
      <alignment horizontal="center" vertical="bottom" textRotation="0" wrapText="0" indent="0" justifyLastLine="0" shrinkToFit="0" readingOrder="0"/>
      <protection locked="0" hidden="0"/>
    </dxf>
    <dxf>
      <font>
        <b val="0"/>
      </font>
      <protection locked="1" hidden="0"/>
    </dxf>
    <dxf>
      <font>
        <b/>
      </font>
      <alignment horizontal="center" vertical="bottom" textRotation="90" wrapText="0" indent="0" justifyLastLine="0" shrinkToFit="0" readingOrder="0"/>
      <protection locked="0" hidden="0"/>
    </dxf>
    <dxf>
      <font>
        <b val="0"/>
      </font>
    </dxf>
    <dxf>
      <protection locked="1" hidden="0"/>
    </dxf>
    <dxf>
      <font>
        <b val="0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A7D00"/>
        <name val="Aptos Narrow"/>
        <family val="2"/>
        <scheme val="minor"/>
      </font>
      <numFmt numFmtId="166" formatCode="0.0"/>
      <alignment horizontal="center" vertical="bottom" textRotation="0" wrapText="0" indent="0" justifyLastLine="0" shrinkToFit="0" readingOrder="0"/>
      <protection locked="1" hidden="0"/>
    </dxf>
    <dxf>
      <border diagonalUp="0" diagonalDown="0" outline="0">
        <left/>
        <right style="thin">
          <color rgb="FF7F7F7F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A7D00"/>
        <name val="Aptos Narrow"/>
        <family val="2"/>
        <scheme val="minor"/>
      </font>
      <numFmt numFmtId="166" formatCode="0.0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A7D00"/>
        <name val="Aptos Narrow"/>
        <family val="2"/>
        <scheme val="minor"/>
      </font>
      <numFmt numFmtId="166" formatCode="0.0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A7D00"/>
        <name val="Aptos Narrow"/>
        <family val="2"/>
        <scheme val="minor"/>
      </font>
      <numFmt numFmtId="166" formatCode="0.0"/>
      <alignment horizontal="center" vertical="bottom" textRotation="0" wrapText="0" indent="0" justifyLastLine="0" shrinkToFit="0" readingOrder="0"/>
      <protection locked="1" hidden="0"/>
    </dxf>
    <dxf>
      <font>
        <b val="0"/>
      </font>
      <numFmt numFmtId="0" formatCode="General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A7D00"/>
        <name val="Aptos Narrow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A7D00"/>
        <name val="Aptos Narrow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protection locked="1" hidden="0"/>
    </dxf>
    <dxf>
      <font>
        <b val="0"/>
      </font>
      <numFmt numFmtId="0" formatCode="General"/>
      <alignment horizontal="center" vertical="bottom" textRotation="0" wrapText="0" indent="0" justifyLastLine="0" shrinkToFit="0" readingOrder="0"/>
      <protection locked="1" hidden="0"/>
    </dxf>
    <dxf>
      <font>
        <b val="0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</border>
      <protection locked="1" hidden="0"/>
    </dxf>
    <dxf>
      <font>
        <color rgb="FFFA7D00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B2B2B2"/>
        </right>
        <top style="thin">
          <color rgb="FFB2B2B2"/>
        </top>
        <bottom style="thin">
          <color rgb="FFB2B2B2"/>
        </bottom>
      </border>
      <protection locked="1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1" hidden="0"/>
    </dxf>
    <dxf>
      <numFmt numFmtId="0" formatCode="General"/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B2B2B2"/>
        </right>
        <top style="thin">
          <color rgb="FF7F7F7F"/>
        </top>
        <bottom style="thin">
          <color rgb="FF7F7F7F"/>
        </bottom>
      </border>
      <protection locked="1" hidden="0"/>
    </dxf>
    <dxf>
      <numFmt numFmtId="0" formatCode="General"/>
      <alignment horizontal="center" vertical="bottom" textRotation="0" wrapText="0" indent="0" justifyLastLine="0" shrinkToFit="0" readingOrder="0"/>
      <border outline="0">
        <left/>
        <right style="thin">
          <color rgb="FF7F7F7F"/>
        </right>
      </border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protection locked="1" hidden="0"/>
    </dxf>
    <dxf>
      <protection locked="0" hidden="0"/>
    </dxf>
    <dxf>
      <alignment horizontal="center" vertical="bottom" textRotation="0" wrapText="0" indent="0" justifyLastLine="0" shrinkToFit="0" readingOrder="0"/>
    </dxf>
    <dxf>
      <numFmt numFmtId="19" formatCode="m/d/yyyy"/>
    </dxf>
    <dxf>
      <alignment horizontal="center" vertical="bottom" textRotation="0" wrapText="0" indent="0" justifyLastLine="0" shrinkToFit="0" readingOrder="0"/>
    </dxf>
    <dxf>
      <numFmt numFmtId="165" formatCode="[$-409]m/d/yy\ h:mm\ AM/PM;@"/>
    </dxf>
    <dxf>
      <numFmt numFmtId="167" formatCode="[$-F400]h:mm:ss\ AM/PM"/>
    </dxf>
    <dxf>
      <alignment horizontal="center" vertical="top" textRotation="18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164" formatCode="0.0%"/>
    </dxf>
    <dxf>
      <numFmt numFmtId="164" formatCode="0.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50BC9914-5178-4084-8C1F-CF2F02CE9279}">
    <nsvFilter filterId="{607F9397-3322-4CB7-B5E6-321D79CDCE2C}" ref="A1:AV14" tableId="3">
      <sortRules>
        <sortRule colId="3" id="{13D2F8AB-DA9D-4393-A0EE-5070FE1ACF82}">
          <sortCondition ref="D1:D14"/>
        </sortRule>
      </sortRules>
    </nsvFilter>
  </namedSheetView>
</namedSheetViews>
</file>

<file path=xl/namedSheetViews/namedSheetView2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Freighter Components" id="{769DF297-EC7D-4350-917B-B40C7C4B56BB}">
    <nsvFilter filterId="{5809F5AB-C188-4295-BC29-5391941F1791}" ref="A1:AI206" tableId="8">
      <columnFilter colId="2" id="{3F6D91E4-15FF-4C05-AE6D-B2E6F69BAB6D}">
        <filter colId="2">
          <x:filters>
            <x:filter val="Freighter Base Building Product"/>
          </x:filters>
        </filter>
      </columnFilter>
      <sortRules>
        <sortRule colId="0" id="{8509E2C5-B7F8-4F6E-BA36-FAC56DC48501}">
          <sortCondition ref="A1:A206"/>
        </sortRule>
      </sortRules>
    </nsvFilter>
  </namedSheetView>
  <namedSheetView name="Freighter Room and Floor Components" id="{F2B31C89-8B14-4A47-89F4-DDB1EB3CF0FE}">
    <nsvFilter filterId="{5809F5AB-C188-4295-BC29-5391941F1791}" ref="A1:AI206" tableId="8">
      <columnFilter colId="0" id="{8509E2C5-B7F8-4F6E-BA36-FAC56DC48501}">
        <filter colId="0">
          <x:filters>
            <x:filter val="Ammonia"/>
            <x:filter val="Biological Room (Expansion)"/>
            <x:filter val="Bulkhead Door"/>
            <x:filter val="Chlorine"/>
            <x:filter val="Cobalt"/>
            <x:filter val="Cultivation Chamber"/>
            <x:filter val="Di-hydrogen"/>
            <x:filter val="Double Cultivation Chamber"/>
            <x:filter val="Exterior Catwalk"/>
            <x:filter val="Exterior Platform"/>
            <x:filter val="Faecium"/>
            <x:filter val="Freighter Corridor"/>
            <x:filter val="Freighter External Stairs"/>
            <x:filter val="Freighter Glass Corridor"/>
            <x:filter val="Freighter Glass Stairs"/>
            <x:filter val="Freighter Stairs"/>
            <x:filter val="Industrial Room (Expansion)"/>
            <x:filter val="Internal Freighter Wall"/>
            <x:filter val="Technology Room (Expansion)"/>
          </x:filters>
        </filter>
      </columnFilter>
      <columnFilter colId="2" id="{3F6D91E4-15FF-4C05-AE6D-B2E6F69BAB6D}">
        <filter colId="2">
          <x:filters>
            <x:filter val="Freighter Base Building Product"/>
          </x:filters>
        </filter>
      </columnFilter>
      <sortRules>
        <sortRule colId="0" id="{8509E2C5-B7F8-4F6E-BA36-FAC56DC48501}">
          <sortCondition ref="A1:A206"/>
        </sortRule>
      </sortRules>
    </nsvFilter>
  </namedSheetView>
  <namedSheetView name="Silver Production" id="{49425D0C-C899-48AD-A380-E66684219D9C}">
    <nsvFilter filterId="{5809F5AB-C188-4295-BC29-5391941F1791}" ref="A1:AI206" tableId="8">
      <columnFilter colId="0" id="{8509E2C5-B7F8-4F6E-BA36-FAC56DC48501}">
        <filter colId="0">
          <x:filters>
            <x:filter val="Kelp Sac"/>
            <x:filter val="Nitrogen"/>
            <x:filter val="Oxygen"/>
          </x:filters>
        </filter>
      </columnFilter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>
  <person displayName="Eric Legault" id="{1647F515-D743-4E22-8424-18DBF61AC0A2}" userId="8925090013b82f73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9EBAC8-71FA-4444-A6A8-4783554786F1}" name="Table2" displayName="Table2" ref="A1:W35" totalsRowShown="0" headerRowDxfId="26">
  <autoFilter ref="A1:W35" xr:uid="{61D5352C-A648-4E4F-933A-BA655AEDAA6B}"/>
  <sortState xmlns:xlrd2="http://schemas.microsoft.com/office/spreadsheetml/2017/richdata2" ref="A2:W35">
    <sortCondition ref="A1:A35"/>
  </sortState>
  <tableColumns count="23">
    <tableColumn id="1" xr3:uid="{F6867AAD-AF0C-4132-AFE5-E5D2A1DC0278}" name="Name"/>
    <tableColumn id="14" xr3:uid="{763ADD45-6E8D-4737-84B5-FC518414670A}" name="Region"/>
    <tableColumn id="2" xr3:uid="{6E25DF3C-EC57-4A23-B3B4-306DAFA32B49}" name="Star Type"/>
    <tableColumn id="13" xr3:uid="{FB02925A-2579-48F3-80D5-EE2C7686DD55}" name="Stellar Class"/>
    <tableColumn id="15" xr3:uid="{576989A1-2A6E-4067-9DA7-A7F2159AA176}" name="Water"/>
    <tableColumn id="7" xr3:uid="{B0CA8E03-3925-4AF5-82EC-0190E21ABDDA}" name="Lifeform"/>
    <tableColumn id="11" xr3:uid="{DDF99A0B-B0F0-49AE-BAAA-E25E92B0C048}" name="Pirate Controlled" dataDxfId="22"/>
    <tableColumn id="19" xr3:uid="{793ECCDC-7084-40A5-A927-29D9265492FD}" name="Dissonant" dataDxfId="21"/>
    <tableColumn id="20" xr3:uid="{7EBAB9EA-073E-44F6-9EA1-A10554A5EBDF}" name="Black Hole" dataDxfId="20"/>
    <tableColumn id="21" xr3:uid="{6D333B99-C181-45A0-8DFF-858CBFE5EA36}" name="Paradise Planet" dataDxfId="19"/>
    <tableColumn id="22" xr3:uid="{B6BBD9A4-8911-4BF2-AEF2-16FFC2165568}" name="Galactic Hub" dataDxfId="18"/>
    <tableColumn id="12" xr3:uid="{535D64CD-0A56-463F-A8D5-F40487D43CF2}" name="Economy Rating" dataDxfId="17"/>
    <tableColumn id="8" xr3:uid="{E661FD85-03D3-4100-8EC3-F2AFA5849C03}" name="Economy"/>
    <tableColumn id="10" xr3:uid="{A58AA7A3-A0EE-4ACC-A135-3C44A9FAB9DD}" name="Economy 2"/>
    <tableColumn id="17" xr3:uid="{92ACEF7F-648A-4FF4-AB85-AE562B4509BD}" name="Sell" dataDxfId="146" dataCellStyle="Percent"/>
    <tableColumn id="16" xr3:uid="{78242E72-657F-4043-B05D-571FB904758E}" name="Buy" dataDxfId="145" dataCellStyle="Percent"/>
    <tableColumn id="9" xr3:uid="{870BECF3-7D59-4BE3-9F8E-1F75DD1D7DC8}" name="Conflict"/>
    <tableColumn id="23" xr3:uid="{71375579-621C-4DBE-9992-115E1BED728E}" name="Conflict Rating" dataDxfId="25"/>
    <tableColumn id="4" xr3:uid="{528B2E02-12B7-47AB-99FD-EBB8891E3B68}" name="Planets" dataDxfId="24"/>
    <tableColumn id="5" xr3:uid="{BB24D941-FFA2-4370-B94E-99B4BC61909A}" name="Moons" dataDxfId="23"/>
    <tableColumn id="6" xr3:uid="{B67F56F8-AA14-4D63-AAB0-F6EBAE7096B5}" name="Base"/>
    <tableColumn id="18" xr3:uid="{82A93A82-CA06-498D-ADDA-6678D41A1716}" name="LY from Galactic Core" dataDxfId="144"/>
    <tableColumn id="3" xr3:uid="{86D16347-161C-45CA-8A52-FFBE1E930F0E}" name="Discovered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D74B30-7600-4239-A115-32D8B4351FD6}" name="Table3" displayName="Table3" ref="A1:BA33" totalsRowShown="0">
  <autoFilter ref="A1:BA33" xr:uid="{AA65A0D5-1381-4845-8694-3B1C652B7DA4}"/>
  <tableColumns count="53">
    <tableColumn id="1" xr3:uid="{438AA549-E899-4759-B0CC-28E2C270A661}" name="Base"/>
    <tableColumn id="2" xr3:uid="{5D5D2BBB-6186-4832-AC56-531EEEFC4D12}" name="System"/>
    <tableColumn id="3" xr3:uid="{41D8FB94-F40B-4CFC-A055-81EF871D5D98}" name="Planet"/>
    <tableColumn id="5" xr3:uid="{EC88E3D3-8481-4A91-9E52-102D3EFA6E65}" name="Planet Type"/>
    <tableColumn id="6" xr3:uid="{2CDE2CDC-A27C-40F9-A6F9-6B69C40AD710}" name="Weather"/>
    <tableColumn id="7" xr3:uid="{900DD771-5D73-49AC-B181-E4C7AB515EE3}" name="Sentinels"/>
    <tableColumn id="8" xr3:uid="{3437F543-E3AC-4415-8C53-45F180FEF08C}" name="Flora"/>
    <tableColumn id="9" xr3:uid="{FDF9543D-8C56-4AFD-B5AD-BB993D1EC71F}" name="Fauna"/>
    <tableColumn id="46" xr3:uid="{97161209-E1D7-460C-B0EC-4D3C067A68EE}" name="Discovered"/>
    <tableColumn id="10" xr3:uid="{51C5CF56-5D0A-4E32-ACD5-F712DFD330D4}" name="Dissonance Detected"/>
    <tableColumn id="4" xr3:uid="{94A35080-7AC6-4988-9417-1FCB728A9DC5}" name="Fauna Discovered"/>
    <tableColumn id="45" xr3:uid="{F39E82CF-8EF1-4967-8C56-CEDDF2FD1828}" name="Flora Discovered" dataDxfId="143"/>
    <tableColumn id="44" xr3:uid="{4F399BA3-43C6-4126-8CDE-0D4531976343}" name="Minerals Discovered" dataDxfId="142"/>
    <tableColumn id="47" xr3:uid="{987B9D88-62A9-45D2-92A0-4136583671B3}" name="X Coordinates" dataDxfId="141"/>
    <tableColumn id="48" xr3:uid="{6B68C5FD-425C-404A-A6A5-78EA41A1673A}" name="Y Coordinates" dataDxfId="140"/>
    <tableColumn id="11" xr3:uid="{3935D4C7-F61B-40E1-A16B-3327748129C4}" name="Glyphs"/>
    <tableColumn id="12" xr3:uid="{4861C40C-3B86-4262-8F6F-D4A40B58517F}" name="Coordinates"/>
    <tableColumn id="13" xr3:uid="{9AAB9FB1-B828-4552-8EC1-0BAE30E22818}" name="Distance to Galactic Center" dataDxfId="14"/>
    <tableColumn id="15" xr3:uid="{0A6C6BCC-32AC-447E-9306-DB2DCF12616F}" name="Mineral Extractor"/>
    <tableColumn id="16" xr3:uid="{7B47921F-2579-4A1B-AC91-6196ED18A0AB}" name="Class (ME)" dataDxfId="6"/>
    <tableColumn id="17" xr3:uid="{CC94C02E-F2FD-4EEE-9972-A45F54DA5F93}" name="Density" dataDxfId="5"/>
    <tableColumn id="51" xr3:uid="{D45B7E55-F0D2-4776-8697-06F3AD3387BA}" name="Network Extraction Rate/hr" dataDxfId="4"/>
    <tableColumn id="49" xr3:uid="{22F2BFDA-F9A2-4128-9EFC-E87855FF8F42}" name="Storage Capacity" dataDxfId="3"/>
    <tableColumn id="52" xr3:uid="{5C54A6B2-0C96-4CBA-B2F1-234DED07EB55}" name="Production Cycle Time (mins)" dataDxfId="2"/>
    <tableColumn id="53" xr3:uid="{19981886-6178-4D39-A4E6-541684C4D870}" name="Production Hours" dataDxfId="1">
      <calculatedColumnFormula>X2/60</calculatedColumnFormula>
    </tableColumn>
    <tableColumn id="39" xr3:uid="{679595BA-BEB7-4177-9E33-EFCB2986012B}" name="In Production (Minerals)" dataDxfId="0"/>
    <tableColumn id="18" xr3:uid="{9A9F42F4-4642-4A25-A1C2-75C69B9B86E3}" name="Gas Extractor"/>
    <tableColumn id="19" xr3:uid="{1189044B-1881-4D6B-9988-69C1590A496B}" name="Class (GE)" dataDxfId="10"/>
    <tableColumn id="20" xr3:uid="{93C48C6A-5D4D-48DE-82F4-03F1C421DE70}" name="Concentration" dataDxfId="9"/>
    <tableColumn id="40" xr3:uid="{C24C830E-64B5-43BF-8470-425BD946B31A}" name="In Production (Gas)" dataDxfId="8"/>
    <tableColumn id="21" xr3:uid="{8B4AC73B-4F44-4EC9-9446-9904D1C89172}" name="Electromagnetic Class" dataDxfId="7"/>
    <tableColumn id="50" xr3:uid="{06135AE8-1F7D-4C1D-88C4-24C533A2FF05}" name="Field Strength" dataDxfId="11"/>
    <tableColumn id="41" xr3:uid="{90C75C0B-A485-4B34-9626-FC572B1311EE}" name="Power Output" dataDxfId="12"/>
    <tableColumn id="14" xr3:uid="{0519162E-9F91-495C-8A97-DEA3AEBCC558}" name="Notes" dataDxfId="13"/>
    <tableColumn id="22" xr3:uid="{0CC60CD7-5EEB-40E7-8536-F96572A5D11C}" name="Activated Copper"/>
    <tableColumn id="23" xr3:uid="{AC73A7B6-EE66-4A5E-ADF0-878A96C23777}" name="Ammonia"/>
    <tableColumn id="24" xr3:uid="{CF5AD354-1F44-48A0-89D8-6B63691A336F}" name="Ancient Bones"/>
    <tableColumn id="42" xr3:uid="{419A6097-3B05-499C-A5D0-ABCEE0993D9C}" name="Cactus Flesh"/>
    <tableColumn id="25" xr3:uid="{0BE1AE5C-604F-430F-8A39-4D63124C6639}" name="Cadmium"/>
    <tableColumn id="26" xr3:uid="{E54E6AD7-E2BA-4466-8033-3D60EE38C345}" name="Cobalt"/>
    <tableColumn id="27" xr3:uid="{EE29D6C5-404B-48BC-9554-64A33E8BFBDE}" name="Copper"/>
    <tableColumn id="28" xr3:uid="{FC570293-078B-4EBD-9922-786D6F2C179D}" name="Dioxite"/>
    <tableColumn id="29" xr3:uid="{AF52CADF-B816-4ABE-BA01-07BAE38313AF}" name="Frost Crystal"/>
    <tableColumn id="30" xr3:uid="{BA6DB935-0242-4D30-92CB-9BBC12BE2FF9}" name="Fungal Mould"/>
    <tableColumn id="31" xr3:uid="{182CE162-9556-4974-85FD-1FABB2F81AB8}" name="Magnetised Ferrite"/>
    <tableColumn id="32" xr3:uid="{8C61A78A-B50D-4EAC-9CBD-8A9AA5580160}" name="Paraffinium"/>
    <tableColumn id="33" xr3:uid="{AEAEDFC4-C4EE-46A0-80A9-9D8EC5651F49}" name="Phosphorus"/>
    <tableColumn id="43" xr3:uid="{4ACCA0AE-B510-44BA-A21A-7582D72253EE}" name="Pyrite"/>
    <tableColumn id="34" xr3:uid="{78F9DF6F-6052-495A-AD6F-D4C4AEB65A05}" name="Salt"/>
    <tableColumn id="35" xr3:uid="{A8CF1224-7D0B-487D-9E72-46E8334A711D}" name="Silver"/>
    <tableColumn id="36" xr3:uid="{F0DC73CC-BFC8-4AE4-AC92-3922465AE455}" name="Sodium"/>
    <tableColumn id="37" xr3:uid="{A3E5DBE4-8752-4852-8A2C-E59E0A55BD40}" name="Solanium"/>
    <tableColumn id="38" xr3:uid="{F86E9861-FC71-423C-8D93-571034129C03}" name="Star Bulb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2D3DB3C-67C9-4505-9CBA-63DBB260D15D}" name="Table4" displayName="Table4" ref="A1:AV14" totalsRowShown="0" headerRowDxfId="139">
  <autoFilter ref="A1:AV14" xr:uid="{607F9397-3322-4CB7-B5E6-321D79CDCE2C}">
    <filterColumn colId="1">
      <filters>
        <filter val="Owned"/>
      </filters>
    </filterColumn>
  </autoFilter>
  <sortState xmlns:xlrd2="http://schemas.microsoft.com/office/spreadsheetml/2017/richdata2" ref="A2:AV14">
    <sortCondition descending="1" ref="F1:F14"/>
  </sortState>
  <tableColumns count="48">
    <tableColumn id="1" xr3:uid="{54E7F25B-B123-48D0-800F-A1CB37D6AF9E}" name="Name"/>
    <tableColumn id="17" xr3:uid="{024A36B8-AA1D-43D5-AAE1-5228613E8220}" name="Status"/>
    <tableColumn id="15" xr3:uid="{2F8844FB-54BD-4C6E-A167-AE55EDF2DB3D}" name="Order"/>
    <tableColumn id="2" xr3:uid="{13D2F8AB-DA9D-4393-A0EE-5070FE1ACF82}" name="Type"/>
    <tableColumn id="3" xr3:uid="{CCFDF181-381F-4538-98C6-B336EF8FBA39}" name="Class"/>
    <tableColumn id="10" xr3:uid="{58AE035D-6031-4961-B630-33BF5C082C5B}" name="Value" dataCellStyle="Currency"/>
    <tableColumn id="4" xr3:uid="{F5CA5B87-9EE6-4414-A9D9-C70FCA33BD88}" name="Tech Slots"/>
    <tableColumn id="22" xr3:uid="{C2A33651-27AC-454C-845D-BB01580FFFC0}" name="TS Used"/>
    <tableColumn id="5" xr3:uid="{7F6C6983-B82C-478D-930E-8EC0A4E4D137}" name="Cargo Slots"/>
    <tableColumn id="42" xr3:uid="{5D13F9DF-132F-408E-A71F-783A2BBDFF85}" name="Damaged Cargo Slots"/>
    <tableColumn id="6" xr3:uid="{F370923C-D33E-43C3-BE48-A25034664C87}" name="Damage Potential"/>
    <tableColumn id="11" xr3:uid="{8D4EB6A0-E5AE-4176-B3E0-997A03BC471E}" name="Damage Potential Core"/>
    <tableColumn id="7" xr3:uid="{A607CD92-A07B-40A0-A8E5-C742A50E817C}" name="Shield Strength"/>
    <tableColumn id="12" xr3:uid="{4BA91CA8-A4D9-4B65-AAC5-79C4D1AC3754}" name="Shield Strength Core"/>
    <tableColumn id="8" xr3:uid="{74BE26BB-578D-42BB-9E88-7C1BD4327895}" name="Hyperdrive Range"/>
    <tableColumn id="13" xr3:uid="{586165CA-A8D4-4BFB-9F0F-3F623392F300}" name="Hyperdrive Range Core"/>
    <tableColumn id="9" xr3:uid="{A9651D5B-9E65-41F5-9C66-CBE4C97202D8}" name="Maneuverability"/>
    <tableColumn id="14" xr3:uid="{BDE55F7F-332E-4573-B8D6-4BE550C7FB19}" name="Maneuverability Core"/>
    <tableColumn id="18" xr3:uid="{753167B0-87E8-4CB6-9415-773BBC449D55}" name="Extracted Component"/>
    <tableColumn id="19" xr3:uid="{9E527724-BBB4-4581-9D4A-602C4A44DC34}" name="EC Value"/>
    <tableColumn id="16" xr3:uid="{0EFDB7E1-2405-4026-9D61-E355E40DF2E2}" name="Updated" dataDxfId="138"/>
    <tableColumn id="41" xr3:uid="{64E1B7C9-7D31-43CD-A919-65288EC00058}" name="Supercharged Slots" dataDxfId="137"/>
    <tableColumn id="20" xr3:uid="{54A32AE4-AC19-46F1-8533-788A386EEDEB}" name="Pulse Engine Upgrades"/>
    <tableColumn id="21" xr3:uid="{0AFC5A7A-5563-471A-87EC-376207AF5708}" name="PEU Classes"/>
    <tableColumn id="25" xr3:uid="{633EB2DD-5CD3-416A-B917-B789EB5E5DA1}" name="Hyperdrive Upgrades"/>
    <tableColumn id="26" xr3:uid="{6C3E2AB2-A4EA-4CFC-8BB4-798AE006930A}" name="Hyperdrive Classes"/>
    <tableColumn id="47" xr3:uid="{01DAA982-4101-4D1E-9F0A-E02411BEFC13}" name="Cadmium Drive"/>
    <tableColumn id="48" xr3:uid="{31A8C9FE-2EFB-4E73-A48B-AC14C658421B}" name="Emeril Drive"/>
    <tableColumn id="49" xr3:uid="{B8EB13F7-0720-4072-8885-246789B6B238}" name="Indium Drive"/>
    <tableColumn id="50" xr3:uid="{89357B08-6AB2-4209-BE2D-F3AC133163B3}" name="Emergency Warp Unit" dataDxfId="136"/>
    <tableColumn id="23" xr3:uid="{CA8DCB30-BA88-462D-8AAC-0A3F9CE97280}" name="Shield Upgrades"/>
    <tableColumn id="24" xr3:uid="{3BA7BCDE-40DE-4B3F-A3D9-53B9302232AE}" name="SU Classes"/>
    <tableColumn id="28" xr3:uid="{047340E4-4B21-4492-8186-2C9F2BBE4281}" name="Infraknife Accelerator"/>
    <tableColumn id="29" xr3:uid="{B5561AE4-7B10-4018-A8A3-34E1F630E882}" name="IA Upgrades"/>
    <tableColumn id="30" xr3:uid="{112E0EAD-65DA-4515-829A-6C625A5097FA}" name="IA Classes"/>
    <tableColumn id="43" xr3:uid="{742551B3-AD8A-4D9B-9340-2ABDCA75BE0C}" name="Photon Cannon"/>
    <tableColumn id="31" xr3:uid="{26B3C233-261E-4A26-9AD7-A92B01FFB7D4}" name="Photon Cannon Upgrades"/>
    <tableColumn id="33" xr3:uid="{C1235327-AE75-4D7A-80D7-962BB326A875}" name="PC Classes"/>
    <tableColumn id="44" xr3:uid="{7063EAA6-6325-48FA-AB37-C34F87F0847F}" name="Phase Beam"/>
    <tableColumn id="34" xr3:uid="{F3D16F9E-5F1D-4D30-9D9F-79E53C6C1B72}" name="Phase Beam Upgrades"/>
    <tableColumn id="35" xr3:uid="{8826E61B-FB50-432A-A547-8ED2902B0B93}" name="PB Classes"/>
    <tableColumn id="37" xr3:uid="{AA09A279-A79C-4C26-A46F-812AA5606899}" name="Rocket Launcher"/>
    <tableColumn id="46" xr3:uid="{451F4A72-2B7C-4CA0-B091-EB64F0C1348B}" name="Rocket Launcher Upgrades"/>
    <tableColumn id="45" xr3:uid="{0593DF86-FBC4-4A44-BCED-6A97433E1E14}" name="Cyclotron Ballista"/>
    <tableColumn id="36" xr3:uid="{8D7ED921-CC5E-433E-9DE1-9547C01B9707}" name="Launch Auto-Charger Upgrades"/>
    <tableColumn id="38" xr3:uid="{06D6F1F8-21C3-40FD-9AFE-5DC9A0665278}" name="Economy Scanner"/>
    <tableColumn id="39" xr3:uid="{D6FA05B3-8BAE-4766-B8A1-B3DCA4C9F0FC}" name="Cargo Scan Deflector"/>
    <tableColumn id="40" xr3:uid="{35F4B2C0-A369-45C4-A561-30BE7CE79DA9}" name="Teleport Receiver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0AF38FA-950A-48BC-9F3E-112F8703DDA0}" name="Table1" displayName="Table1" ref="A1:X31" totalsRowShown="0">
  <autoFilter ref="A1:X31" xr:uid="{8E577311-0A31-40D6-8789-9CF01C5DDEE1}"/>
  <sortState xmlns:xlrd2="http://schemas.microsoft.com/office/spreadsheetml/2017/richdata2" ref="A2:X30">
    <sortCondition ref="E2:E30"/>
    <sortCondition ref="C2:C30"/>
  </sortState>
  <tableColumns count="24">
    <tableColumn id="1" xr3:uid="{A82354EC-AD69-4B7E-A10D-8B989EE1B82B}" name="Name"/>
    <tableColumn id="16" xr3:uid="{7D1EECEE-27CD-4761-8B12-86B0903EA754}" name="Updated" dataDxfId="135"/>
    <tableColumn id="2" xr3:uid="{2F939BCE-761E-45A6-B2FB-556B48DB731E}" name="Class"/>
    <tableColumn id="9" xr3:uid="{FC21838F-8EB9-40C1-A6B1-24C90DDF7395}" name="Model"/>
    <tableColumn id="3" xr3:uid="{F48BB298-AA77-4B27-9D17-B79E61360FAC}" name="Role"/>
    <tableColumn id="4" xr3:uid="{6A6FC9CD-51CA-4438-8F42-F95CEAA8AEA0}" name="Combat"/>
    <tableColumn id="5" xr3:uid="{B2649E1F-D966-4AE4-A0B3-D6DAD9B8EDB5}" name="Exploration"/>
    <tableColumn id="6" xr3:uid="{3CC44936-F40A-4FA3-850A-8C8F8A01C91C}" name="Industrial"/>
    <tableColumn id="7" xr3:uid="{A4ED68F5-568D-4607-944B-60641B01BFF6}" name="Trade"/>
    <tableColumn id="11" xr3:uid="{AC05FAAA-E4CA-4EE9-BF16-F6FE50C29509}" name="Expeditions"/>
    <tableColumn id="12" xr3:uid="{180CC722-28EC-4F8A-BB34-354AD5DAD48C}" name="Times Damaged"/>
    <tableColumn id="13" xr3:uid="{20764906-92F8-4791-B694-75BF44F365F1}" name="Captain"/>
    <tableColumn id="14" xr3:uid="{9CF7051B-49F2-4478-88C6-3237B4CD6032}" name="Crew Mood"/>
    <tableColumn id="15" xr3:uid="{0E405B5D-4D04-49D4-A1D2-4A96CF6A2342}" name="Notes"/>
    <tableColumn id="10" xr3:uid="{7DBB624A-EEF1-486E-A363-98F904965EB8}" name="Fuel Requirements (tonnes/LY)" dataDxfId="134"/>
    <tableColumn id="20" xr3:uid="{1D9FCFE3-782B-487F-A0FF-ECB1106C75CD}" name="Successful Encounters"/>
    <tableColumn id="21" xr3:uid="{278296AE-9475-4CF0-91C7-4A40D53573C6}" name="Next Rank"/>
    <tableColumn id="8" xr3:uid="{4172B4A7-012F-4DE5-AE77-6368271FF22F}" name="Combat2"/>
    <tableColumn id="17" xr3:uid="{656B1696-14D5-4806-B46A-7D4691A1F7C8}" name="Expedition Fuel Cost"/>
    <tableColumn id="22" xr3:uid="{EEE09549-096C-4A70-8E28-10A2FC22A7AD}" name="Expedition Duration"/>
    <tableColumn id="18" xr3:uid="{12A2FB78-1557-4249-9425-7A253AAB1D68}" name="Industry"/>
    <tableColumn id="19" xr3:uid="{B54C579C-C4F1-4901-9543-52F47729D72B}" name="Trading"/>
    <tableColumn id="23" xr3:uid="{8F287123-D7B8-462D-ADB4-680F232EAA39}" name="Exploration2"/>
    <tableColumn id="24" xr3:uid="{E588F792-4F80-4A82-8195-D8C546C3702A}" name="Damage Reduction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954512B-2880-4EA7-A81B-F0E4646483DD}" name="Table6" displayName="Table6" ref="A1:AH5" totalsRowShown="0">
  <autoFilter ref="A1:AH5" xr:uid="{EA6C4EBE-EED3-4EC1-A6E1-BD0F4DEBB2EF}"/>
  <tableColumns count="34">
    <tableColumn id="1" xr3:uid="{3FDE1700-3546-4884-88C4-053885B68DCD}" name="Name"/>
    <tableColumn id="2" xr3:uid="{FC06FBE2-2EE3-4E21-9BC5-F7904FBBF94C}" name="Class"/>
    <tableColumn id="3" xr3:uid="{688D83FD-2753-4FC1-8CB2-05D8C53631A1}" name="Damage Potential"/>
    <tableColumn id="4" xr3:uid="{DE5A6CF0-FA34-4EB7-BE1F-2FD29ACA7D74}" name="Scanner Range"/>
    <tableColumn id="5" xr3:uid="{B9583BD5-790F-4A11-81DC-95A27AC2684C}" name="Slots"/>
    <tableColumn id="23" xr3:uid="{30F17AA3-95C0-4AA7-9081-8174558DB64E}" name="Max Slots"/>
    <tableColumn id="6" xr3:uid="{A40D3CE8-2FE4-466C-A108-80A67FE655D0}" name="Used Slots"/>
    <tableColumn id="12" xr3:uid="{55B66FC8-5606-499F-8045-EF49F631DC9C}" name="Supercharged Slots"/>
    <tableColumn id="16" xr3:uid="{9DE7B218-8BA4-43C6-AFC1-507BAC5679C0}" name="Personal Forcefield"/>
    <tableColumn id="7" xr3:uid="{BA32D137-13DA-476F-B16F-014E5FCF3C8C}" name="Mining Tool Upgrades"/>
    <tableColumn id="17" xr3:uid="{8AF56EF7-9326-4A0A-90D2-B1AA3C57A9FD}" name="Analysis Visor"/>
    <tableColumn id="8" xr3:uid="{D2A17F12-C637-4553-A7A8-B72572F94685}" name="Analysis Visor Upgrades"/>
    <tableColumn id="9" xr3:uid="{EBC820BE-C3C5-4DE1-8919-6CBA7AB9311C}" name="Optical Drill"/>
    <tableColumn id="10" xr3:uid="{ABF32116-91DC-4AC1-9ACC-D7B8952D55DC}" name="Advanced Mining Laser"/>
    <tableColumn id="11" xr3:uid="{ECE07E7C-9F80-4BEC-BB02-E4D7B74F57B0}" name="Survey Device"/>
    <tableColumn id="13" xr3:uid="{BA10A7AA-373C-4B6F-B4B0-B4922C3EDBD6}" name="Terrain Manipulator"/>
    <tableColumn id="14" xr3:uid="{F607E871-27F7-48C9-8600-DA619118504C}" name="Paralysis Mortar"/>
    <tableColumn id="15" xr3:uid="{CE1A4686-E3D3-4325-9013-77CF4356B0FD}" name="Cloaking Device"/>
    <tableColumn id="24" xr3:uid="{0B2F547E-1367-45B2-ACB7-A40BEB119977}" name="Boltcaster"/>
    <tableColumn id="26" xr3:uid="{E163AF4D-85BC-4514-9C23-64F7A3408743}" name="Barrel Ioniser"/>
    <tableColumn id="25" xr3:uid="{77CD8987-62D5-4ACA-AF25-51297ABDB130}" name="Boltcaster Upgrades"/>
    <tableColumn id="18" xr3:uid="{DBD31686-C221-457B-AB95-60CEFFF8F92A}" name="Voltaic Amplifier"/>
    <tableColumn id="27" xr3:uid="{911BE7F1-04F5-434C-91B2-4AA07A28742F}" name="Pulse Splitter"/>
    <tableColumn id="28" xr3:uid="{87A49C2D-E0D9-4AA3-83EF-444E09A2063B}" name="Pulse Splitter Upgrades"/>
    <tableColumn id="32" xr3:uid="{E1CED37C-B448-4F28-BC5E-871D78C41EAC}" name="Scatter Blaster"/>
    <tableColumn id="33" xr3:uid="{7D190F42-0110-46EA-BD71-0C6DD0D022F8}" name="Scatter Blaster Upgrades"/>
    <tableColumn id="34" xr3:uid="{26012876-E67A-46C7-AB32-B70D6CE8CE56}" name="Shell Greaser"/>
    <tableColumn id="21" xr3:uid="{7B3A614B-D2B7-48BA-81B3-8DB69C4100D9}" name="Neutron Cannon"/>
    <tableColumn id="22" xr3:uid="{C1F31D7E-BF65-460F-9952-B4ABC1D4D525}" name="Neutron Cannon Upgrades"/>
    <tableColumn id="29" xr3:uid="{ED3149F5-FA68-46CB-B3D2-BE36594A7176}" name="Blaze Javelin"/>
    <tableColumn id="30" xr3:uid="{E7669C14-A021-4B33-92B4-7F8E7149E8A0}" name="Blaze Javelin Upgrades"/>
    <tableColumn id="19" xr3:uid="{F4A04699-1432-4745-AEAE-E8F04EA88760}" name="Plasma Launcher"/>
    <tableColumn id="20" xr3:uid="{7389F4F8-F639-4D76-902F-79A6440AC647}" name="Plasma Launcher Upgrades"/>
    <tableColumn id="31" xr3:uid="{48E19C5C-9D58-4B5B-8394-74C0F964A91B}" name="Combat Scope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2713AD3-3453-40E5-AB7E-DC96F0AED16E}" name="Table7" displayName="Table7" ref="A1:W6" totalsRowShown="0">
  <autoFilter ref="A1:W6" xr:uid="{7192CCA9-4273-4797-8018-FBD985FCEBFC}"/>
  <tableColumns count="23">
    <tableColumn id="1" xr3:uid="{5562EE2C-6684-48B6-A573-0379157994A9}" name="Name"/>
    <tableColumn id="19" xr3:uid="{BD899536-3825-4A2D-BA26-B8B5CB4C0020}" name="Technology Slots"/>
    <tableColumn id="20" xr3:uid="{610CC2D1-8838-4D4E-A893-EC28BBA2107E}" name="Technology Slots Max"/>
    <tableColumn id="21" xr3:uid="{6ED859DA-2D82-4C7D-92F9-A1BA6EFE15F8}" name="Technology Slots Used"/>
    <tableColumn id="22" xr3:uid="{329BCF14-6221-4ED2-AA33-B69603CECDD6}" name="Cargo Slots"/>
    <tableColumn id="23" xr3:uid="{7A30C878-4ECA-4A94-9AD1-997A7ACEFF28}" name="Cargo Slots Max"/>
    <tableColumn id="2" xr3:uid="{30677207-26EF-4ACA-8A30-4AD7DD5D9075}" name="Boost Module"/>
    <tableColumn id="7" xr3:uid="{E60A3465-12B1-483C-B83A-A53896C359B2}" name="Booster Upgrades"/>
    <tableColumn id="6" xr3:uid="{70DD1BBC-2187-4C38-ACB0-44136A073F95}" name="Booster Upgrade Classes"/>
    <tableColumn id="3" xr3:uid="{8586169F-A8DF-40A5-B1FA-A5087F375C30}" name="Fusion Engine Upgrades"/>
    <tableColumn id="4" xr3:uid="{E96D3C72-3F97-4C3D-91A8-67487E543AA4}" name="Fusion Engine Classes"/>
    <tableColumn id="5" xr3:uid="{00AE20A4-AC99-47A9-A039-424EA1C4B560}" name="Radar Upgrades"/>
    <tableColumn id="8" xr3:uid="{D4C0DD4D-CA9F-4E9D-9FF5-3D1C49A8595A}" name="Radar Upgrades Classes"/>
    <tableColumn id="9" xr3:uid="{4DA08380-066E-46DF-8096-B5FC196787A0}" name="Mounted Cannon"/>
    <tableColumn id="10" xr3:uid="{429C5910-BA90-4327-AB03-418DE7CA2570}" name="Mounted Cannon Upgrades"/>
    <tableColumn id="11" xr3:uid="{8116D2CE-6FC3-4937-AD6C-7E31F20D2205}" name="Mounted Cannon Upgrade Classes"/>
    <tableColumn id="12" xr3:uid="{43FEDBE1-4560-4BFE-8FDE-617FD5F3D815}" name="Advanced Mining Laser"/>
    <tableColumn id="13" xr3:uid="{63BC5527-CDF7-4161-8670-8DF74E4D7202}" name="Mining Laser Upgrades"/>
    <tableColumn id="14" xr3:uid="{D2F85AF1-44A3-4DFD-997A-3B15ADA9ACD9}" name="Mining Laser Upgrade Classes"/>
    <tableColumn id="15" xr3:uid="{ED3398CA-B38E-4025-B057-28D07BA42045}" name="Thermal Buffer"/>
    <tableColumn id="16" xr3:uid="{A52BEF18-D0DD-4EAC-A74E-B13C46AFE2E4}" name="Neutron Shielding"/>
    <tableColumn id="17" xr3:uid="{CE6330B0-48CA-475E-9F61-B23631D9FFE8}" name="Air Filtration Unit"/>
    <tableColumn id="18" xr3:uid="{7887B709-26F4-4133-8349-843D09C285CB}" name="Megawatt Heater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51E2913-4426-4CB0-BB2D-F875C8D3BFA7}" name="Table9" displayName="Table9" ref="A1:F104" totalsRowShown="0">
  <autoFilter ref="A1:F104" xr:uid="{4C085520-4D11-44B2-AF0C-8F1DA216B9C4}"/>
  <tableColumns count="6">
    <tableColumn id="1" xr3:uid="{928B7729-5DA7-477B-974C-CBC48B135B75}" name="Item"/>
    <tableColumn id="2" xr3:uid="{4F4D4F84-D10F-4715-9F97-52236369EAA7}" name="Item Type"/>
    <tableColumn id="3" xr3:uid="{AF27AA1E-56BD-49D1-A8BF-933FFF5C4470}" name="Category"/>
    <tableColumn id="6" xr3:uid="{16EEFEAA-63DD-4CF3-ABD5-B3DB1CA6B501}" name="Status"/>
    <tableColumn id="4" xr3:uid="{0D80083D-E86A-44EC-AFA7-9C17A789E134}" name="Amount"/>
    <tableColumn id="5" xr3:uid="{EE119D11-667F-4321-A243-D3FE9F86A78A}" name="Container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FF48380-A5C2-444D-9FA9-DAADB7339AB0}" name="Recipes" displayName="Recipes" ref="A1:AI206" totalsRowShown="0" headerRowDxfId="35" dataDxfId="133">
  <autoFilter ref="A1:AI206" xr:uid="{5809F5AB-C188-4295-BC29-5391941F1791}"/>
  <tableColumns count="35">
    <tableColumn id="1" xr3:uid="{8509E2C5-B7F8-4F6E-BA36-FAC56DC48501}" name="Mineral/Component" dataDxfId="38"/>
    <tableColumn id="34" xr3:uid="{28B23830-167D-4270-82E4-DFABDEA657D2}" name="Acronym" dataDxfId="36"/>
    <tableColumn id="13" xr3:uid="{3F6D91E4-15FF-4C05-AE6D-B2E6F69BAB6D}" name="Category" dataDxfId="37"/>
    <tableColumn id="14" xr3:uid="{89ED6926-6711-4872-AF9B-078E0C2D61FA}" name="Method" dataDxfId="132"/>
    <tableColumn id="22" xr3:uid="{29E625A5-BCBB-4F7A-9797-11DE1E3D1D0C}" name="Target Mineral/Component" dataDxfId="131"/>
    <tableColumn id="17" xr3:uid="{4F56A052-0D3F-4232-9050-784A2ECB2181}" name="Multiplier" dataDxfId="130" dataCellStyle="Bad"/>
    <tableColumn id="20" xr3:uid="{977186B2-D8D8-4C95-98B1-150CFF7DAC6C}" name="Produceable" dataDxfId="129" dataCellStyle="Input">
      <calculatedColumnFormula>MAX(AD2:AF2)</calculatedColumnFormula>
    </tableColumn>
    <tableColumn id="15" xr3:uid="{80D6AD99-20DC-40EB-B0E6-2E6C2B06756E}" name="Produceable (Max)" dataDxfId="128" dataCellStyle="Calculation">
      <calculatedColumnFormula>ROUNDDOWN(MAX(AG2:AI2),0)</calculatedColumnFormula>
    </tableColumn>
    <tableColumn id="27" xr3:uid="{DBA80BDE-6325-4C38-8391-B35FA204E88C}" name="Desired Amount" dataDxfId="31" dataCellStyle="Note"/>
    <tableColumn id="26" xr3:uid="{9315D69D-2D94-4DDD-8ACC-A13A8363BEC5}" name="Materials Required" dataDxfId="30" dataCellStyle="Normal"/>
    <tableColumn id="2" xr3:uid="{2A4788B9-8AFC-4F25-9225-2FD0F737A1B0}" name="Material 1" dataDxfId="29"/>
    <tableColumn id="3" xr3:uid="{DF09D597-27FC-4E29-91C5-7368724996F6}" name="Material 1 #" dataDxfId="27"/>
    <tableColumn id="9" xr3:uid="{F4D80C1C-F3B0-42AB-BB53-DE61F2750857}" name="Material 1 Input" dataDxfId="28" dataCellStyle="Good"/>
    <tableColumn id="23" xr3:uid="{2E36FA19-F696-461D-899E-0BF12A0D4AB0}" name="Material 1 Total" dataDxfId="44" dataCellStyle="Calculation">
      <calculatedColumnFormula>INDEX(Inventory!E:E,MATCH(K2, Inventory!A:A),1)</calculatedColumnFormula>
    </tableColumn>
    <tableColumn id="28" xr3:uid="{7760F24D-5FFE-4F99-AF94-FED6EE429EDA}" name="Material 1 Required" dataDxfId="45" dataCellStyle="Note">
      <calculatedColumnFormula>I2/F2*L2</calculatedColumnFormula>
    </tableColumn>
    <tableColumn id="31" xr3:uid="{469460A2-D555-40EA-B88C-C7989ACDDE1D}" name="Strength Rating Material 1" dataDxfId="41" dataCellStyle="Note">
      <calculatedColumnFormula>IF(ISBLANK(I2), 0, N2/O2)</calculatedColumnFormula>
    </tableColumn>
    <tableColumn id="35" xr3:uid="{EDD6FFCA-0F82-40F1-B12A-9232910C28A4}" name="Group Strength Rating MAT1" dataDxfId="42" dataCellStyle="Note">
      <calculatedColumnFormula array="1">MAX(IF($A:$A=$A2, $P:$P))</calculatedColumnFormula>
    </tableColumn>
    <tableColumn id="4" xr3:uid="{4F730545-5C25-4ED6-950F-8C1E6F8D37DD}" name="Material 2" dataDxfId="34"/>
    <tableColumn id="5" xr3:uid="{E2A9FE9B-D5F1-4222-8239-8BE923367F96}" name="Material 2#" dataDxfId="32"/>
    <tableColumn id="10" xr3:uid="{64F92FE1-1995-41BF-8E1C-2524A550CEF2}" name="Material 2 Input" dataDxfId="33" dataCellStyle="Good"/>
    <tableColumn id="8" xr3:uid="{DE8F2C08-1D90-471B-BE42-AE38D6C0F911}" name="Material 2 Total" dataDxfId="48" dataCellStyle="Calculation">
      <calculatedColumnFormula>IF(S2 &gt; 0,INDEX(Inventory!E:E,MATCH(R2, Inventory!A:A),1), "")</calculatedColumnFormula>
    </tableColumn>
    <tableColumn id="29" xr3:uid="{3787D10D-F2BE-4B8B-80ED-5B7CBCB37AF7}" name="Material  2 Required" dataDxfId="47" dataCellStyle="Note">
      <calculatedColumnFormula>I2/F2*S2</calculatedColumnFormula>
    </tableColumn>
    <tableColumn id="32" xr3:uid="{BF02064E-8EBA-4D01-A588-5330A4FB8AAC}" name="Strength Rating Material 2" dataDxfId="43" dataCellStyle="Note">
      <calculatedColumnFormula>IF(ISBLANK(I2),0,IF(ISBLANK(S2),0,U2/V2))</calculatedColumnFormula>
    </tableColumn>
    <tableColumn id="6" xr3:uid="{246D18B5-F706-4EF3-BF76-1845921C52CD}" name="Material 3" dataDxfId="46"/>
    <tableColumn id="7" xr3:uid="{146397E9-197D-4D42-AD2F-AD4D206CD635}" name="Material 3#" dataDxfId="52"/>
    <tableColumn id="11" xr3:uid="{76E65F3C-2B85-4B1C-A881-3B18C94FB2F7}" name="Material 3 Input" dataDxfId="51" dataCellStyle="Good"/>
    <tableColumn id="12" xr3:uid="{3769BFAD-773B-4D62-A8DC-119DE50148F7}" name="Material 3 Total" dataDxfId="49" dataCellStyle="Calculation">
      <calculatedColumnFormula>IF(Y2&gt;0, INDEX(Inventory!E:E,MATCH(X2, Inventory!A:A),1), "")</calculatedColumnFormula>
    </tableColumn>
    <tableColumn id="30" xr3:uid="{B7A18985-C4EB-4AB0-9A05-96225B4DEFC5}" name="Material  2 Required2" dataDxfId="50" dataCellStyle="Note">
      <calculatedColumnFormula>I2/F2*Y2</calculatedColumnFormula>
    </tableColumn>
    <tableColumn id="33" xr3:uid="{0E23F115-4A9A-49EA-9F08-BCA8EB1C2645}" name="Strength Rating Material 3" dataDxfId="39" dataCellStyle="Note">
      <calculatedColumnFormula>IF(ISBLANK(I2), 0, IF(ISBLANK(Y2), 0, AA2/AB2))</calculatedColumnFormula>
    </tableColumn>
    <tableColumn id="19" xr3:uid="{989C9885-ECC0-4206-929E-6ED1A7E9CA14}" name="Produced Amount (1 Material)" dataDxfId="40" dataCellStyle="Input">
      <calculatedColumnFormula>IF(J2=1, M2/L2*F2, 0)</calculatedColumnFormula>
    </tableColumn>
    <tableColumn id="18" xr3:uid="{7ABE90DC-FD20-4D5F-9879-2B968EF7905B}" name="Produced Amount (2 Materials)" dataCellStyle="Input">
      <calculatedColumnFormula>IF(J2=2, MIN(M2/L2, T2/S2)* F2,0)</calculatedColumnFormula>
    </tableColumn>
    <tableColumn id="21" xr3:uid="{AEBC4353-B9FE-4645-B7CD-E86D6304E8C2}" name="Produced Amount (3 Materials)" dataCellStyle="Input">
      <calculatedColumnFormula>IF(J2=3, MIN(M2/L2, T2/S2, Z2/Y2) * F2, 0)</calculatedColumnFormula>
    </tableColumn>
    <tableColumn id="16" xr3:uid="{D0B972D8-A44E-450D-999A-8AD76B281F47}" name="Produced Amount Max (1 Material)" dataDxfId="127" dataCellStyle="Calculation">
      <calculatedColumnFormula>IF(J2=1, N2/L2*F2, 0)</calculatedColumnFormula>
    </tableColumn>
    <tableColumn id="24" xr3:uid="{84047F2E-28C6-43FC-ABA9-1C9A4FF906BF}" name="Produced Amount Max (2 Materials)" dataDxfId="126" dataCellStyle="Calculation">
      <calculatedColumnFormula>IF(J2=2,MIN(N2/L2, U2/S2)* F2,0)</calculatedColumnFormula>
    </tableColumn>
    <tableColumn id="25" xr3:uid="{B69DBC2F-FD59-4537-AB78-E9159D9199D1}" name="Produced Amount Max (3 Materials)" dataDxfId="125" dataCellStyle="Calculation">
      <calculatedColumnFormula>IF(J2=3, MIN(N2/L2, U2/S2, AA2/Y2) * F2, 0)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B294834-6254-48E9-B207-32A1F7BBB902}" name="Table12" displayName="Table12" ref="A1:C13" totalsRowShown="0" headerRowDxfId="124">
  <autoFilter ref="A1:C13" xr:uid="{058F626A-CBF3-4D85-ACA1-274B2C91321F}"/>
  <tableColumns count="3">
    <tableColumn id="19" xr3:uid="{58CDD848-C13E-483A-B775-749D30413C82}" name="Produced Item"/>
    <tableColumn id="14" xr3:uid="{B7618AD7-2E7A-4881-91E3-B2ACB1DD817E}" name="Floor" dataDxfId="123" dataCellStyle="Good"/>
    <tableColumn id="4" xr3:uid="{CBC4F225-63DF-4D6D-9AB3-AA12571E8AE0}" name="Seeded" dataDxfId="122" dataCellStyle="Good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CF82096-4173-4109-98D8-A244F4B3358F}" name="Table1215" displayName="Table1215" ref="A1:P13" totalsRowShown="0" headerRowDxfId="121">
  <autoFilter ref="A1:P13" xr:uid="{875AFD99-717E-412B-9C21-151D2C4BE9EA}"/>
  <sortState xmlns:xlrd2="http://schemas.microsoft.com/office/spreadsheetml/2017/richdata2" ref="A2:P13">
    <sortCondition descending="1" ref="P1:P13"/>
  </sortState>
  <tableColumns count="16">
    <tableColumn id="1" xr3:uid="{9ABC5E2F-8F13-4666-A946-B04E61A65F6D}" name="Seed"/>
    <tableColumn id="10" xr3:uid="{02A01901-03BE-450A-9822-12381DBC570D}" name="Produces"/>
    <tableColumn id="2" xr3:uid="{F5A08937-867F-4BBD-AA1A-F408E0B61649}" name="Plant 1"/>
    <tableColumn id="7" xr3:uid="{73C868BF-C2FE-4743-89F0-3F5502429EB8}" name="Plant 1 Required" dataDxfId="120"/>
    <tableColumn id="6" xr3:uid="{62CDA1F8-8651-4709-ADE0-199E042DAEAB}" name="Plant 1 Inventory" dataDxfId="119" dataCellStyle="Calculation"/>
    <tableColumn id="9" xr3:uid="{CBEAFA4B-99FC-42CA-9AB6-B2B3D082ED0A}" name="Plant 2"/>
    <tableColumn id="8" xr3:uid="{21AB2C90-A8FA-4F60-8F53-B376BA1768D6}" name="Plant 2 Required" dataDxfId="118"/>
    <tableColumn id="3" xr3:uid="{99ABE3CA-2EBF-4A6C-82E9-9A2131413055}" name="Plant 2 Inventory" dataDxfId="117" dataCellStyle="Calculation"/>
    <tableColumn id="13" xr3:uid="{267BB71A-C09D-4C80-BDB8-BE362690A49C}" name="Plant 3"/>
    <tableColumn id="12" xr3:uid="{A58AFF79-C29F-4078-93A3-D99A8C6CD94F}" name="Plant 3 Required" dataDxfId="116"/>
    <tableColumn id="11" xr3:uid="{07F18FFC-2A1B-40E7-B5F6-D82AE64B3F5B}" name="Plant 3 Inventory" dataDxfId="115" dataCellStyle="Calculation"/>
    <tableColumn id="5" xr3:uid="{329B0B0D-669C-4143-89DF-BA1239714FBE}" name="Grow Time (hr)" dataDxfId="114"/>
    <tableColumn id="16" xr3:uid="{86A8BBE9-08C2-4ACC-B182-1342CEE7BA3F}" name="Amount Per Harvest" dataDxfId="113"/>
    <tableColumn id="17" xr3:uid="{E48C25B7-8DCA-42E5-B9C8-A0E38C9F84C0}" name="In Production" dataDxfId="112"/>
    <tableColumn id="18" xr3:uid="{0E73A66A-D22B-404A-A921-E10C666E5568}" name="Total Harvest" dataDxfId="111">
      <calculatedColumnFormula>M2*N2</calculatedColumnFormula>
    </tableColumn>
    <tableColumn id="19" xr3:uid="{84597BC6-D9A8-4A7E-853F-E4365995C597}" name="Production/Day" dataDxfId="110">
      <calculatedColumnFormula>24/L2*O2</calculatedColumnFormula>
    </tableColumn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A602A33-4495-4232-992A-27C0503510FC}" name="Table10" displayName="Table10" ref="A1:C54" totalsRowShown="0">
  <autoFilter ref="A1:C54" xr:uid="{1AD684BF-96D6-4823-834F-EA2733B0C3FE}">
    <filterColumn colId="2">
      <filters>
        <filter val="Agricultural Room Modules"/>
        <filter val="Core Freighter Modules"/>
        <filter val="High-Tech Room Modules"/>
        <filter val="Industrial Rooms"/>
      </filters>
    </filterColumn>
  </autoFilter>
  <sortState xmlns:xlrd2="http://schemas.microsoft.com/office/spreadsheetml/2017/richdata2" ref="A2:C54">
    <sortCondition ref="A1:A54"/>
  </sortState>
  <tableColumns count="3">
    <tableColumn id="1" xr3:uid="{4BE9EDBC-BB39-4139-933B-96E9567A6F34}" name="Building Product"/>
    <tableColumn id="3" xr3:uid="{A62D3BD7-D8FF-4F04-B948-5326B64A5570}" name="Layout Acronym"/>
    <tableColumn id="2" xr3:uid="{89881A28-8E6E-4066-83F2-ECB944929E62}" name="Category"/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27C150-5F4D-4E8F-BB9C-847715681928}" name="Table11" displayName="Table11" ref="A1:AG20" totalsRowCount="1">
  <autoFilter ref="A1:AG19" xr:uid="{7BA3EC87-78C0-4145-9FE3-9199A4602961}"/>
  <tableColumns count="33">
    <tableColumn id="2" xr3:uid="{C6D1ECA6-35D6-4E55-BC31-1EB8337B41C0}" name="Floor" dataDxfId="109" totalsRowDxfId="108"/>
    <tableColumn id="37" xr3:uid="{3C283CD9-3443-4924-8EAC-B16EA0283EAC}" name="Available Space" dataDxfId="107" totalsRowDxfId="106">
      <calculatedColumnFormula>SUM(C2:AG2)</calculatedColumnFormula>
    </tableColumn>
    <tableColumn id="6" xr3:uid="{3A919F56-E5C5-4EEA-9161-9BF034381C89}" name="BD" totalsRowFunction="custom" dataDxfId="105" totalsRowDxfId="104">
      <totalsRowFormula>C19-C18</totalsRowFormula>
    </tableColumn>
    <tableColumn id="7" xr3:uid="{0D93368C-1F2C-4108-9095-35F77262C7AE}" name="EC" totalsRowFunction="custom" dataDxfId="103" totalsRowDxfId="102">
      <totalsRowFormula>D19-D18</totalsRowFormula>
    </tableColumn>
    <tableColumn id="8" xr3:uid="{C493EFA1-2128-4ACF-8CC8-8194DC4B0F4A}" name="EP" totalsRowFunction="custom" dataDxfId="101" totalsRowDxfId="100">
      <totalsRowFormula>E19-E18</totalsRowFormula>
    </tableColumn>
    <tableColumn id="9" xr3:uid="{C56200AE-8AF8-437E-A48C-155DB0D78725}" name="FC" totalsRowFunction="custom" dataDxfId="99" totalsRowDxfId="98">
      <totalsRowFormula>F19-F18</totalsRowFormula>
    </tableColumn>
    <tableColumn id="10" xr3:uid="{562A5BC3-D657-4819-8F42-0E394D80FD8A}" name="FES" totalsRowFunction="custom" dataDxfId="97" totalsRowDxfId="96">
      <totalsRowFormula>G19-G18</totalsRowFormula>
    </tableColumn>
    <tableColumn id="11" xr3:uid="{26471BFF-61AC-46A5-B5A4-A19D486A6CD3}" name="FGC" totalsRowFunction="custom" dataDxfId="95" totalsRowDxfId="94">
      <totalsRowFormula>H19-H18</totalsRowFormula>
    </tableColumn>
    <tableColumn id="12" xr3:uid="{20259C61-80A2-4DF0-A77A-3D38CA106E09}" name="FGS" totalsRowFunction="custom" dataDxfId="93" totalsRowDxfId="92">
      <totalsRowFormula>I19-I18</totalsRowFormula>
    </tableColumn>
    <tableColumn id="13" xr3:uid="{B6A6E024-9C6C-4842-961E-DB6016E0D281}" name="FS" totalsRowFunction="custom" dataDxfId="91" totalsRowDxfId="90">
      <totalsRowFormula>J19-J18</totalsRowFormula>
    </tableColumn>
    <tableColumn id="14" xr3:uid="{E3F2DFB9-D662-4772-863A-224408B4FD31}" name="IFW" totalsRowFunction="custom" dataDxfId="89" totalsRowDxfId="88">
      <totalsRowFormula>K19-K18</totalsRowFormula>
    </tableColumn>
    <tableColumn id="15" xr3:uid="{1D96497D-8BC0-49AE-933D-BC6512521163}" name="LM" totalsRowFunction="custom" dataDxfId="87" totalsRowDxfId="86">
      <totalsRowFormula>L19-L18</totalsRowFormula>
    </tableColumn>
    <tableColumn id="16" xr3:uid="{0FAB4BFE-596D-43C5-9FCE-72DD3EB91B3C}" name="RW" totalsRowFunction="custom" dataDxfId="85" totalsRowDxfId="84">
      <totalsRowFormula>M19-M18</totalsRowFormula>
    </tableColumn>
    <tableColumn id="17" xr3:uid="{7A7696B0-850C-4A8D-8F72-D1D5D6B63329}" name="BRE" totalsRowFunction="custom" dataDxfId="83" totalsRowDxfId="82">
      <totalsRowFormula>N19-N18</totalsRowFormula>
    </tableColumn>
    <tableColumn id="18" xr3:uid="{D907D962-599E-499B-ABDD-6427923EC77A}" name="CC" totalsRowFunction="custom" dataDxfId="81" totalsRowDxfId="80">
      <totalsRowFormula>O19-O18</totalsRowFormula>
    </tableColumn>
    <tableColumn id="19" xr3:uid="{44FB13C2-E5EE-4B08-84F0-CB4D9BC17CBB}" name="DCC" totalsRowFunction="custom" dataDxfId="79" totalsRowDxfId="78">
      <totalsRowFormula>P19-P18</totalsRowFormula>
    </tableColumn>
    <tableColumn id="1" xr3:uid="{6F79CFE1-FB74-4478-85F1-E44A091D120A}" name="IRE" totalsRowFunction="custom" dataDxfId="77" totalsRowDxfId="76" dataCellStyle="Input">
      <totalsRowFormula>Q19-Q18</totalsRowFormula>
    </tableColumn>
    <tableColumn id="20" xr3:uid="{B4A9EF39-F893-4F0A-92DD-0D98C6165314}" name="TRE" totalsRowFunction="custom" dataDxfId="75" totalsRowDxfId="74" dataCellStyle="Input">
      <totalsRowFormula>R19-R18</totalsRowFormula>
    </tableColumn>
    <tableColumn id="21" xr3:uid="{F3C58EBB-DD70-454A-8093-3DA58F161AA2}" name="GTR" totalsRowFunction="custom" dataDxfId="73" totalsRowDxfId="72" dataCellStyle="Input">
      <totalsRowFormula>S19-S18</totalsRowFormula>
    </tableColumn>
    <tableColumn id="22" xr3:uid="{40196A7B-0F00-40FC-ABD4-3EE298FC328B}" name="NR" totalsRowFunction="custom" dataDxfId="71" totalsRowDxfId="70">
      <totalsRowFormula>T19-T18</totalsRowFormula>
    </tableColumn>
    <tableColumn id="23" xr3:uid="{2ADED7F9-C379-467E-865A-BDE26F647DA9}" name="RR" totalsRowFunction="custom" dataDxfId="69" totalsRowDxfId="68">
      <totalsRowFormula>U19-U18</totalsRowFormula>
    </tableColumn>
    <tableColumn id="24" xr3:uid="{7F07DEB3-50F4-4678-97A6-E63DDC07A73F}" name="SER" totalsRowFunction="custom" dataDxfId="67" totalsRowDxfId="66">
      <totalsRowFormula>V19-V18</totalsRowFormula>
    </tableColumn>
    <tableColumn id="26" xr3:uid="{4490C510-FEBB-4FA3-9CE4-F7561DCB152A}" name="TC" totalsRowFunction="custom" dataDxfId="65" totalsRowDxfId="64">
      <totalsRowFormula>W19-W18</totalsRowFormula>
    </tableColumn>
    <tableColumn id="27" xr3:uid="{140BD8B4-EF70-4FFC-8250-8F06052C8657}" name="ASR" totalsRowFunction="custom" totalsRowDxfId="63">
      <totalsRowFormula>X19-X18</totalsRowFormula>
    </tableColumn>
    <tableColumn id="28" xr3:uid="{A639D178-B1B5-43AA-AD27-A9BC8CB836DB}" name="AMR" totalsRowFunction="custom" totalsRowDxfId="62">
      <totalsRowFormula>Y19-Y18</totalsRowFormula>
    </tableColumn>
    <tableColumn id="29" xr3:uid="{EFD923FD-EA1D-4D47-A2DF-857A2F611E55}" name="CSR" totalsRowFunction="custom" totalsRowDxfId="61">
      <totalsRowFormula>Z19-Z18</totalsRowFormula>
    </tableColumn>
    <tableColumn id="30" xr3:uid="{11F72283-52FF-4423-8601-D3B7F409F709}" name="ESR" totalsRowFunction="custom" totalsRowDxfId="60">
      <totalsRowFormula>AA19-AA18</totalsRowFormula>
    </tableColumn>
    <tableColumn id="31" xr3:uid="{A9C57770-FDD9-4B79-A9D3-F0BCF04943FE}" name="FCR" totalsRowFunction="custom" totalsRowDxfId="59">
      <totalsRowFormula>AB19-AB18</totalsRowFormula>
    </tableColumn>
    <tableColumn id="32" xr3:uid="{6E8A95A1-77D1-450A-A5D5-343439126B43}" name="OEM" totalsRowFunction="custom" totalsRowDxfId="58">
      <totalsRowFormula>AC19-AC18</totalsRowFormula>
    </tableColumn>
    <tableColumn id="33" xr3:uid="{FA63D315-563E-4058-9D96-EDFEE82A0D32}" name="ScR" totalsRowFunction="custom" totalsRowDxfId="57">
      <totalsRowFormula>AD19-AD18</totalsRowFormula>
    </tableColumn>
    <tableColumn id="34" xr3:uid="{A2F9983C-FDD0-48DF-A65E-75982962EE88}" name="SSR" totalsRowFunction="custom" totalsRowDxfId="56">
      <totalsRowFormula>AE19-AE18</totalsRowFormula>
    </tableColumn>
    <tableColumn id="35" xr3:uid="{593C2299-F370-40DE-B1F1-5818BA1A41CB}" name="SR" totalsRowFunction="custom" totalsRowDxfId="55">
      <totalsRowFormula>AF19-AF18</totalsRowFormula>
    </tableColumn>
    <tableColumn id="36" xr3:uid="{DA978E16-0EA8-4A5A-A382-383AFBAF61DD}" name="WTR" totalsRowFunction="custom" totalsRowDxfId="54">
      <totalsRowFormula>AG19-AG18</totalsRowFormula>
    </tableColumn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92C0018-A032-4707-BC0C-AB40A4073594}" name="Table5" displayName="Table5" ref="A1:D18" totalsRowShown="0">
  <autoFilter ref="A1:D18" xr:uid="{E5C8B3E1-2462-4517-BD93-B03C3789632B}"/>
  <tableColumns count="4">
    <tableColumn id="1" xr3:uid="{D36F886D-2280-42C9-96DC-A250CAF26435}" name="System"/>
    <tableColumn id="2" xr3:uid="{5AC86C20-766F-48D5-966A-C1D1709D0C54}" name="Coordinates"/>
    <tableColumn id="3" xr3:uid="{7554B122-FA02-483B-A416-E3EF30C3DC9C}" name="Command">
      <calculatedColumnFormula>_xlfn.CONCAT("""", B2,",",A2,"""")</calculatedColumnFormula>
    </tableColumn>
    <tableColumn id="4" xr3:uid="{5ACED1A5-E5F2-45E2-A4C2-FD5EB36B09D1}" name="Command 2" dataDxfId="53">
      <calculatedColumnFormula>_xlfn.CONCAT("!galaxymap /title=","""","Euclid - ", A2,""""," ", """", B2, """")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23" dT="2024-04-30T20:13:27.49" personId="{1647F515-D743-4E22-8424-18DBF61AC0A2}" id="{095796EF-70EB-45B3-B555-E3E6B4C29B5F}">
    <text>Bowling Alley!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2" dT="2024-04-29T00:36:55.71" personId="{1647F515-D743-4E22-8424-18DBF61AC0A2}" id="{E8229714-646D-4F71-9A89-EEE3696BC84D}">
    <text>Cannot have windows on North side, nor use corridors or doors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microsoft.com/office/2019/04/relationships/namedSheetView" Target="../namedSheetViews/namedSheetView1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microsoft.com/office/2019/04/relationships/namedSheetView" Target="../namedSheetViews/namedSheetView2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80E4F-75F4-4A70-8E8D-EA6D19E1DD1D}">
  <sheetPr codeName="Sheet1"/>
  <dimension ref="A1:W35"/>
  <sheetViews>
    <sheetView workbookViewId="0"/>
  </sheetViews>
  <sheetFormatPr defaultRowHeight="15" x14ac:dyDescent="0.25"/>
  <cols>
    <col min="1" max="1" width="16.140625" bestFit="1" customWidth="1"/>
    <col min="2" max="2" width="17.85546875" bestFit="1" customWidth="1"/>
    <col min="3" max="3" width="11.5703125" bestFit="1" customWidth="1"/>
    <col min="4" max="4" width="14.5703125" bestFit="1" customWidth="1"/>
    <col min="5" max="5" width="8.7109375" bestFit="1" customWidth="1"/>
    <col min="6" max="6" width="11" bestFit="1" customWidth="1"/>
    <col min="7" max="12" width="8.28515625" style="24" customWidth="1"/>
    <col min="13" max="13" width="18.5703125" bestFit="1" customWidth="1"/>
    <col min="14" max="14" width="14.5703125" bestFit="1" customWidth="1"/>
    <col min="15" max="16" width="9.28515625" style="1" bestFit="1" customWidth="1"/>
    <col min="17" max="17" width="16.28515625" bestFit="1" customWidth="1"/>
    <col min="18" max="20" width="7.7109375" style="24" customWidth="1"/>
    <col min="21" max="21" width="33.5703125" bestFit="1" customWidth="1"/>
    <col min="22" max="22" width="16.5703125" customWidth="1"/>
    <col min="23" max="23" width="13.5703125" bestFit="1" customWidth="1"/>
  </cols>
  <sheetData>
    <row r="1" spans="1:23" ht="138.75" customHeight="1" x14ac:dyDescent="0.25">
      <c r="A1" s="141" t="s">
        <v>0</v>
      </c>
      <c r="B1" s="141" t="s">
        <v>1</v>
      </c>
      <c r="C1" s="141" t="s">
        <v>2</v>
      </c>
      <c r="D1" s="141" t="s">
        <v>3</v>
      </c>
      <c r="E1" s="141" t="s">
        <v>4</v>
      </c>
      <c r="F1" s="141" t="s">
        <v>5</v>
      </c>
      <c r="G1" s="141" t="s">
        <v>6</v>
      </c>
      <c r="H1" s="141" t="s">
        <v>7</v>
      </c>
      <c r="I1" s="141" t="s">
        <v>8</v>
      </c>
      <c r="J1" s="141" t="s">
        <v>9</v>
      </c>
      <c r="K1" s="141" t="s">
        <v>10</v>
      </c>
      <c r="L1" s="141" t="s">
        <v>11</v>
      </c>
      <c r="M1" s="141" t="s">
        <v>12</v>
      </c>
      <c r="N1" s="141" t="s">
        <v>13</v>
      </c>
      <c r="O1" s="142" t="s">
        <v>14</v>
      </c>
      <c r="P1" s="142" t="s">
        <v>15</v>
      </c>
      <c r="Q1" s="141" t="s">
        <v>16</v>
      </c>
      <c r="R1" s="141" t="s">
        <v>17</v>
      </c>
      <c r="S1" s="141" t="s">
        <v>18</v>
      </c>
      <c r="T1" s="141" t="s">
        <v>19</v>
      </c>
      <c r="U1" s="141" t="s">
        <v>20</v>
      </c>
      <c r="V1" s="141" t="s">
        <v>21</v>
      </c>
      <c r="W1" s="141" t="s">
        <v>22</v>
      </c>
    </row>
    <row r="2" spans="1:23" x14ac:dyDescent="0.25">
      <c r="A2" t="s">
        <v>23</v>
      </c>
      <c r="C2" t="s">
        <v>24</v>
      </c>
      <c r="F2" t="s">
        <v>25</v>
      </c>
      <c r="M2" t="s">
        <v>26</v>
      </c>
      <c r="N2" t="s">
        <v>27</v>
      </c>
      <c r="Q2" t="s">
        <v>28</v>
      </c>
      <c r="S2" s="24">
        <v>4</v>
      </c>
      <c r="T2" s="24">
        <v>2</v>
      </c>
      <c r="U2" t="s">
        <v>29</v>
      </c>
      <c r="V2" s="2">
        <v>714508.95200000005</v>
      </c>
      <c r="W2" s="3">
        <v>45200</v>
      </c>
    </row>
    <row r="3" spans="1:23" x14ac:dyDescent="0.25">
      <c r="A3" t="s">
        <v>30</v>
      </c>
      <c r="C3" t="s">
        <v>24</v>
      </c>
      <c r="F3" t="s">
        <v>31</v>
      </c>
      <c r="M3" t="s">
        <v>32</v>
      </c>
      <c r="N3" t="s">
        <v>33</v>
      </c>
      <c r="Q3" t="s">
        <v>34</v>
      </c>
      <c r="S3" s="24">
        <v>4</v>
      </c>
      <c r="U3" t="s">
        <v>35</v>
      </c>
      <c r="V3" s="2"/>
      <c r="W3" s="4">
        <v>45397</v>
      </c>
    </row>
    <row r="4" spans="1:23" x14ac:dyDescent="0.25">
      <c r="A4" t="s">
        <v>36</v>
      </c>
      <c r="B4" t="s">
        <v>37</v>
      </c>
      <c r="C4" t="s">
        <v>24</v>
      </c>
      <c r="D4" t="s">
        <v>38</v>
      </c>
      <c r="E4" t="s">
        <v>39</v>
      </c>
      <c r="F4" t="s">
        <v>40</v>
      </c>
      <c r="L4" s="24">
        <v>3</v>
      </c>
      <c r="M4" t="s">
        <v>41</v>
      </c>
      <c r="N4" t="s">
        <v>42</v>
      </c>
      <c r="O4" s="1">
        <v>0.629</v>
      </c>
      <c r="P4" s="1">
        <v>-0.125</v>
      </c>
      <c r="Q4" t="s">
        <v>43</v>
      </c>
      <c r="R4" s="24">
        <v>2</v>
      </c>
      <c r="S4" s="24">
        <v>5</v>
      </c>
      <c r="T4" s="24">
        <v>1</v>
      </c>
      <c r="V4" s="2">
        <v>589036</v>
      </c>
      <c r="W4" s="4">
        <v>45402</v>
      </c>
    </row>
    <row r="5" spans="1:23" x14ac:dyDescent="0.25">
      <c r="A5" t="s">
        <v>44</v>
      </c>
      <c r="C5" t="s">
        <v>24</v>
      </c>
      <c r="F5" t="s">
        <v>40</v>
      </c>
      <c r="M5" t="s">
        <v>45</v>
      </c>
      <c r="N5" t="s">
        <v>46</v>
      </c>
      <c r="Q5" t="s">
        <v>47</v>
      </c>
      <c r="S5" s="24">
        <v>4</v>
      </c>
      <c r="T5" s="24">
        <v>2</v>
      </c>
      <c r="U5" t="s">
        <v>48</v>
      </c>
      <c r="V5" s="2">
        <v>708537.53599999996</v>
      </c>
    </row>
    <row r="6" spans="1:23" x14ac:dyDescent="0.25">
      <c r="A6" t="s">
        <v>49</v>
      </c>
      <c r="C6" t="s">
        <v>24</v>
      </c>
      <c r="F6" t="s">
        <v>40</v>
      </c>
      <c r="M6" t="s">
        <v>50</v>
      </c>
      <c r="N6" t="s">
        <v>51</v>
      </c>
      <c r="Q6" t="s">
        <v>52</v>
      </c>
      <c r="S6" s="24">
        <v>5</v>
      </c>
      <c r="U6" t="s">
        <v>53</v>
      </c>
      <c r="V6" s="2">
        <v>665687.73600000003</v>
      </c>
    </row>
    <row r="7" spans="1:23" x14ac:dyDescent="0.25">
      <c r="A7" t="s">
        <v>54</v>
      </c>
      <c r="B7" t="s">
        <v>55</v>
      </c>
      <c r="C7" t="s">
        <v>24</v>
      </c>
      <c r="D7" t="s">
        <v>56</v>
      </c>
      <c r="E7" t="s">
        <v>39</v>
      </c>
      <c r="F7" t="s">
        <v>40</v>
      </c>
      <c r="L7" s="24">
        <v>1</v>
      </c>
      <c r="M7" t="s">
        <v>41</v>
      </c>
      <c r="N7" t="s">
        <v>57</v>
      </c>
      <c r="O7" s="1">
        <v>0.752</v>
      </c>
      <c r="P7" s="1">
        <v>-0.20300000000000001</v>
      </c>
      <c r="Q7" t="s">
        <v>58</v>
      </c>
      <c r="S7" s="24">
        <v>4</v>
      </c>
      <c r="T7" s="24">
        <v>2</v>
      </c>
      <c r="V7" s="2">
        <v>631216</v>
      </c>
      <c r="W7" s="4">
        <v>45399</v>
      </c>
    </row>
    <row r="8" spans="1:23" x14ac:dyDescent="0.25">
      <c r="A8" t="s">
        <v>59</v>
      </c>
      <c r="B8" t="s">
        <v>60</v>
      </c>
      <c r="C8" t="s">
        <v>24</v>
      </c>
      <c r="D8" t="s">
        <v>61</v>
      </c>
      <c r="E8" t="s">
        <v>39</v>
      </c>
      <c r="F8" t="s">
        <v>31</v>
      </c>
      <c r="J8" s="24" t="s">
        <v>39</v>
      </c>
      <c r="L8" s="24">
        <v>3</v>
      </c>
      <c r="M8" t="s">
        <v>62</v>
      </c>
      <c r="N8" t="s">
        <v>63</v>
      </c>
      <c r="O8" s="1">
        <v>0.45</v>
      </c>
      <c r="P8" s="1">
        <v>-0.26200000000000001</v>
      </c>
      <c r="Q8" t="s">
        <v>64</v>
      </c>
      <c r="S8" s="24">
        <v>5</v>
      </c>
      <c r="U8" t="s">
        <v>65</v>
      </c>
      <c r="V8" s="2">
        <v>648286.60400000005</v>
      </c>
      <c r="W8" s="4">
        <v>45399</v>
      </c>
    </row>
    <row r="9" spans="1:23" x14ac:dyDescent="0.25">
      <c r="A9" t="s">
        <v>66</v>
      </c>
      <c r="C9" t="s">
        <v>24</v>
      </c>
      <c r="F9" t="s">
        <v>31</v>
      </c>
      <c r="M9" t="s">
        <v>67</v>
      </c>
      <c r="N9" t="s">
        <v>68</v>
      </c>
      <c r="Q9" t="s">
        <v>69</v>
      </c>
      <c r="S9" s="24">
        <v>3</v>
      </c>
      <c r="U9" t="s">
        <v>70</v>
      </c>
      <c r="V9" s="2">
        <v>666073.50800000003</v>
      </c>
      <c r="W9" s="4">
        <v>45362</v>
      </c>
    </row>
    <row r="10" spans="1:23" x14ac:dyDescent="0.25">
      <c r="A10" t="s">
        <v>71</v>
      </c>
      <c r="B10" t="s">
        <v>72</v>
      </c>
      <c r="C10" t="s">
        <v>24</v>
      </c>
      <c r="D10" t="s">
        <v>73</v>
      </c>
      <c r="E10" t="s">
        <v>39</v>
      </c>
      <c r="F10" t="s">
        <v>31</v>
      </c>
      <c r="L10" s="24">
        <v>2</v>
      </c>
      <c r="M10" t="s">
        <v>74</v>
      </c>
      <c r="N10" t="s">
        <v>75</v>
      </c>
      <c r="O10" s="1">
        <v>0.79</v>
      </c>
      <c r="P10" s="1">
        <v>-0.23400000000000001</v>
      </c>
      <c r="Q10" t="s">
        <v>76</v>
      </c>
      <c r="S10" s="24">
        <v>3</v>
      </c>
      <c r="T10" s="24">
        <v>3</v>
      </c>
      <c r="V10" s="2"/>
    </row>
    <row r="11" spans="1:23" x14ac:dyDescent="0.25">
      <c r="A11" t="s">
        <v>77</v>
      </c>
      <c r="B11" t="s">
        <v>78</v>
      </c>
      <c r="C11" t="s">
        <v>24</v>
      </c>
      <c r="D11" t="s">
        <v>79</v>
      </c>
      <c r="E11" t="s">
        <v>39</v>
      </c>
      <c r="F11" t="s">
        <v>31</v>
      </c>
      <c r="L11" s="24">
        <v>2</v>
      </c>
      <c r="M11" t="s">
        <v>74</v>
      </c>
      <c r="N11" t="s">
        <v>80</v>
      </c>
      <c r="O11" s="1">
        <v>0.44800000000000001</v>
      </c>
      <c r="P11" s="1">
        <v>-0.13</v>
      </c>
      <c r="Q11" t="s">
        <v>52</v>
      </c>
      <c r="S11" s="24">
        <v>4</v>
      </c>
      <c r="V11" s="2">
        <v>595766</v>
      </c>
      <c r="W11" s="4">
        <v>45401</v>
      </c>
    </row>
    <row r="12" spans="1:23" x14ac:dyDescent="0.25">
      <c r="A12" t="s">
        <v>81</v>
      </c>
      <c r="C12" t="s">
        <v>24</v>
      </c>
      <c r="F12" t="s">
        <v>40</v>
      </c>
      <c r="G12" s="24" t="s">
        <v>39</v>
      </c>
      <c r="H12" s="24" t="s">
        <v>39</v>
      </c>
      <c r="M12" t="s">
        <v>82</v>
      </c>
      <c r="N12" t="s">
        <v>83</v>
      </c>
      <c r="Q12" t="s">
        <v>6</v>
      </c>
      <c r="S12" s="24">
        <v>4</v>
      </c>
      <c r="U12" t="s">
        <v>84</v>
      </c>
      <c r="V12" s="2">
        <v>714484.87600000005</v>
      </c>
    </row>
    <row r="13" spans="1:23" x14ac:dyDescent="0.25">
      <c r="A13" t="s">
        <v>85</v>
      </c>
      <c r="C13" t="s">
        <v>24</v>
      </c>
      <c r="F13" t="s">
        <v>40</v>
      </c>
      <c r="J13" s="24" t="s">
        <v>39</v>
      </c>
      <c r="M13" t="s">
        <v>32</v>
      </c>
      <c r="N13" t="s">
        <v>80</v>
      </c>
      <c r="Q13" t="s">
        <v>86</v>
      </c>
      <c r="S13" s="24">
        <v>6</v>
      </c>
      <c r="U13" t="s">
        <v>87</v>
      </c>
      <c r="V13" s="2">
        <v>664848.85600000003</v>
      </c>
    </row>
    <row r="14" spans="1:23" x14ac:dyDescent="0.25">
      <c r="A14" t="s">
        <v>88</v>
      </c>
      <c r="B14" t="s">
        <v>89</v>
      </c>
      <c r="C14" t="s">
        <v>24</v>
      </c>
      <c r="D14" t="s">
        <v>90</v>
      </c>
      <c r="F14" t="s">
        <v>25</v>
      </c>
      <c r="G14" s="24" t="s">
        <v>39</v>
      </c>
      <c r="M14" t="s">
        <v>91</v>
      </c>
      <c r="N14" t="s">
        <v>83</v>
      </c>
      <c r="O14" s="1">
        <v>0.76700000000000002</v>
      </c>
      <c r="P14" s="1">
        <v>-0.19</v>
      </c>
      <c r="Q14" t="s">
        <v>6</v>
      </c>
      <c r="V14" s="2"/>
    </row>
    <row r="15" spans="1:23" x14ac:dyDescent="0.25">
      <c r="A15" t="s">
        <v>92</v>
      </c>
      <c r="C15" t="s">
        <v>24</v>
      </c>
      <c r="F15" t="s">
        <v>40</v>
      </c>
      <c r="M15" t="s">
        <v>93</v>
      </c>
      <c r="N15" t="s">
        <v>33</v>
      </c>
      <c r="Q15" t="s">
        <v>94</v>
      </c>
      <c r="S15" s="24">
        <v>6</v>
      </c>
      <c r="U15" t="s">
        <v>95</v>
      </c>
      <c r="V15" s="2">
        <v>714508.95200000005</v>
      </c>
    </row>
    <row r="16" spans="1:23" x14ac:dyDescent="0.25">
      <c r="A16" t="s">
        <v>96</v>
      </c>
      <c r="C16" t="s">
        <v>97</v>
      </c>
      <c r="F16" t="s">
        <v>98</v>
      </c>
      <c r="J16" s="24" t="s">
        <v>39</v>
      </c>
      <c r="M16" t="s">
        <v>99</v>
      </c>
      <c r="Q16" t="s">
        <v>99</v>
      </c>
      <c r="S16" s="24">
        <v>4</v>
      </c>
      <c r="T16" s="24">
        <v>2</v>
      </c>
      <c r="U16" t="s">
        <v>100</v>
      </c>
      <c r="V16" s="2">
        <v>708735.66</v>
      </c>
      <c r="W16" s="4">
        <v>45362</v>
      </c>
    </row>
    <row r="17" spans="1:23" x14ac:dyDescent="0.25">
      <c r="A17" t="s">
        <v>101</v>
      </c>
      <c r="C17" t="s">
        <v>24</v>
      </c>
      <c r="F17" t="s">
        <v>25</v>
      </c>
      <c r="M17" t="s">
        <v>93</v>
      </c>
      <c r="N17" t="s">
        <v>80</v>
      </c>
      <c r="Q17" t="s">
        <v>86</v>
      </c>
      <c r="S17" s="24">
        <v>6</v>
      </c>
      <c r="V17" s="2">
        <v>657302.36399999994</v>
      </c>
    </row>
    <row r="18" spans="1:23" x14ac:dyDescent="0.25">
      <c r="A18" t="s">
        <v>101</v>
      </c>
      <c r="B18" t="s">
        <v>102</v>
      </c>
      <c r="C18" t="s">
        <v>24</v>
      </c>
      <c r="D18" t="s">
        <v>103</v>
      </c>
      <c r="E18" t="s">
        <v>39</v>
      </c>
      <c r="F18" t="s">
        <v>25</v>
      </c>
      <c r="M18" t="s">
        <v>104</v>
      </c>
      <c r="N18" t="s">
        <v>80</v>
      </c>
      <c r="O18" s="1">
        <v>0.497</v>
      </c>
      <c r="P18" s="1">
        <v>-0.13100000000000001</v>
      </c>
      <c r="Q18" t="s">
        <v>86</v>
      </c>
      <c r="S18" s="24">
        <v>6</v>
      </c>
      <c r="V18" s="2">
        <v>657302.36399999994</v>
      </c>
      <c r="W18" s="4">
        <v>45398</v>
      </c>
    </row>
    <row r="19" spans="1:23" x14ac:dyDescent="0.25">
      <c r="A19" t="s">
        <v>105</v>
      </c>
      <c r="C19" t="s">
        <v>24</v>
      </c>
      <c r="F19" t="s">
        <v>40</v>
      </c>
      <c r="L19" s="24">
        <v>2</v>
      </c>
      <c r="M19" t="s">
        <v>106</v>
      </c>
      <c r="N19" t="s">
        <v>33</v>
      </c>
      <c r="Q19" t="s">
        <v>94</v>
      </c>
      <c r="S19" s="24">
        <v>3</v>
      </c>
      <c r="T19" s="24">
        <v>1</v>
      </c>
      <c r="U19" t="s">
        <v>107</v>
      </c>
      <c r="V19" s="2">
        <v>708537.53599999996</v>
      </c>
    </row>
    <row r="20" spans="1:23" x14ac:dyDescent="0.25">
      <c r="A20" t="s">
        <v>108</v>
      </c>
      <c r="C20" t="s">
        <v>97</v>
      </c>
      <c r="S20" s="24">
        <v>6</v>
      </c>
      <c r="V20" s="2"/>
      <c r="W20" s="4">
        <v>45376</v>
      </c>
    </row>
    <row r="21" spans="1:23" x14ac:dyDescent="0.25">
      <c r="A21" t="s">
        <v>109</v>
      </c>
      <c r="B21" t="s">
        <v>110</v>
      </c>
      <c r="C21" t="s">
        <v>24</v>
      </c>
      <c r="D21" t="s">
        <v>111</v>
      </c>
      <c r="E21" t="s">
        <v>39</v>
      </c>
      <c r="F21" t="s">
        <v>25</v>
      </c>
      <c r="J21" s="24" t="s">
        <v>39</v>
      </c>
      <c r="L21" s="24">
        <v>3</v>
      </c>
      <c r="M21" t="s">
        <v>112</v>
      </c>
      <c r="N21" t="s">
        <v>113</v>
      </c>
      <c r="O21" s="1">
        <v>0.58299999999999996</v>
      </c>
      <c r="P21" s="1">
        <v>-0.12</v>
      </c>
      <c r="Q21" t="s">
        <v>34</v>
      </c>
      <c r="S21" s="24">
        <v>6</v>
      </c>
      <c r="U21" t="s">
        <v>114</v>
      </c>
      <c r="V21" s="2">
        <v>665266.50399999996</v>
      </c>
    </row>
    <row r="22" spans="1:23" x14ac:dyDescent="0.25">
      <c r="A22" t="s">
        <v>115</v>
      </c>
      <c r="B22" t="s">
        <v>78</v>
      </c>
      <c r="C22" t="s">
        <v>24</v>
      </c>
      <c r="D22" t="s">
        <v>116</v>
      </c>
      <c r="F22" t="s">
        <v>40</v>
      </c>
      <c r="H22" s="24" t="s">
        <v>39</v>
      </c>
      <c r="I22" s="24" t="s">
        <v>39</v>
      </c>
      <c r="L22" s="24">
        <v>2</v>
      </c>
      <c r="M22" t="s">
        <v>91</v>
      </c>
      <c r="N22" t="s">
        <v>33</v>
      </c>
      <c r="O22" s="1">
        <v>0.78</v>
      </c>
      <c r="P22" s="1">
        <v>-0.105</v>
      </c>
      <c r="Q22" t="s">
        <v>117</v>
      </c>
      <c r="S22" s="24">
        <v>4</v>
      </c>
      <c r="T22" s="24">
        <v>1</v>
      </c>
      <c r="V22" s="2">
        <v>595608</v>
      </c>
      <c r="W22" s="4">
        <v>45402</v>
      </c>
    </row>
    <row r="23" spans="1:23" x14ac:dyDescent="0.25">
      <c r="A23" t="s">
        <v>118</v>
      </c>
      <c r="C23" t="s">
        <v>24</v>
      </c>
      <c r="F23" t="s">
        <v>25</v>
      </c>
      <c r="J23" s="24" t="s">
        <v>39</v>
      </c>
      <c r="K23" s="24" t="s">
        <v>39</v>
      </c>
      <c r="M23" t="s">
        <v>119</v>
      </c>
      <c r="N23" t="s">
        <v>68</v>
      </c>
      <c r="Q23" t="s">
        <v>120</v>
      </c>
      <c r="S23" s="24">
        <v>5</v>
      </c>
      <c r="U23" t="s">
        <v>121</v>
      </c>
      <c r="V23" s="2">
        <v>671870.7</v>
      </c>
    </row>
    <row r="24" spans="1:23" x14ac:dyDescent="0.25">
      <c r="A24" t="s">
        <v>122</v>
      </c>
      <c r="B24" t="s">
        <v>123</v>
      </c>
      <c r="C24" t="s">
        <v>24</v>
      </c>
      <c r="D24" t="s">
        <v>56</v>
      </c>
      <c r="E24" t="s">
        <v>39</v>
      </c>
      <c r="F24" t="s">
        <v>25</v>
      </c>
      <c r="L24" s="24">
        <v>2</v>
      </c>
      <c r="M24" t="s">
        <v>124</v>
      </c>
      <c r="N24" t="s">
        <v>33</v>
      </c>
      <c r="O24" s="1">
        <v>0.77</v>
      </c>
      <c r="P24" s="1">
        <v>-0.12</v>
      </c>
      <c r="Q24" t="s">
        <v>94</v>
      </c>
      <c r="S24" s="24">
        <v>4</v>
      </c>
      <c r="T24" s="24">
        <v>1</v>
      </c>
      <c r="V24" s="2">
        <v>647999</v>
      </c>
      <c r="W24" s="4">
        <v>45399</v>
      </c>
    </row>
    <row r="25" spans="1:23" x14ac:dyDescent="0.25">
      <c r="A25" t="s">
        <v>125</v>
      </c>
      <c r="C25" t="s">
        <v>24</v>
      </c>
      <c r="F25" t="s">
        <v>25</v>
      </c>
      <c r="H25" s="24" t="s">
        <v>39</v>
      </c>
      <c r="M25" t="s">
        <v>126</v>
      </c>
      <c r="N25" t="s">
        <v>51</v>
      </c>
      <c r="Q25" t="s">
        <v>52</v>
      </c>
      <c r="S25" s="24">
        <v>6</v>
      </c>
      <c r="U25" t="s">
        <v>127</v>
      </c>
      <c r="V25" s="2">
        <v>663617.48</v>
      </c>
      <c r="W25" s="4">
        <v>45395</v>
      </c>
    </row>
    <row r="26" spans="1:23" x14ac:dyDescent="0.25">
      <c r="A26" t="s">
        <v>128</v>
      </c>
      <c r="C26" t="s">
        <v>24</v>
      </c>
      <c r="F26" t="s">
        <v>40</v>
      </c>
      <c r="M26" t="s">
        <v>32</v>
      </c>
      <c r="N26" t="s">
        <v>33</v>
      </c>
      <c r="Q26" t="s">
        <v>117</v>
      </c>
      <c r="S26" s="24">
        <v>2</v>
      </c>
      <c r="U26" t="s">
        <v>129</v>
      </c>
      <c r="V26" s="2">
        <v>707949.03599999996</v>
      </c>
    </row>
    <row r="27" spans="1:23" x14ac:dyDescent="0.25">
      <c r="A27" t="s">
        <v>130</v>
      </c>
      <c r="C27" t="s">
        <v>24</v>
      </c>
      <c r="F27" t="s">
        <v>25</v>
      </c>
      <c r="J27" s="24" t="s">
        <v>39</v>
      </c>
      <c r="M27" t="s">
        <v>41</v>
      </c>
      <c r="N27" t="s">
        <v>131</v>
      </c>
      <c r="Q27" t="s">
        <v>132</v>
      </c>
      <c r="S27" s="24">
        <v>5</v>
      </c>
      <c r="T27" s="24">
        <v>1</v>
      </c>
      <c r="U27" t="s">
        <v>133</v>
      </c>
      <c r="V27" s="2">
        <v>714484.87600000005</v>
      </c>
    </row>
    <row r="28" spans="1:23" x14ac:dyDescent="0.25">
      <c r="A28" t="s">
        <v>134</v>
      </c>
      <c r="C28" t="s">
        <v>97</v>
      </c>
      <c r="F28" t="s">
        <v>98</v>
      </c>
      <c r="M28" t="s">
        <v>99</v>
      </c>
      <c r="Q28" t="s">
        <v>99</v>
      </c>
      <c r="S28" s="24">
        <v>5</v>
      </c>
      <c r="T28" s="24">
        <v>1</v>
      </c>
      <c r="V28" s="2"/>
    </row>
    <row r="29" spans="1:23" x14ac:dyDescent="0.25">
      <c r="A29" t="s">
        <v>135</v>
      </c>
      <c r="C29" t="s">
        <v>24</v>
      </c>
      <c r="F29" t="s">
        <v>31</v>
      </c>
      <c r="J29" s="24" t="s">
        <v>39</v>
      </c>
      <c r="M29" t="s">
        <v>93</v>
      </c>
      <c r="N29" t="s">
        <v>80</v>
      </c>
      <c r="Q29" t="s">
        <v>86</v>
      </c>
      <c r="S29" s="24">
        <v>6</v>
      </c>
      <c r="U29" t="s">
        <v>136</v>
      </c>
      <c r="V29" s="2">
        <v>714158.52399999998</v>
      </c>
    </row>
    <row r="30" spans="1:23" x14ac:dyDescent="0.25">
      <c r="A30" t="s">
        <v>137</v>
      </c>
      <c r="C30" t="s">
        <v>24</v>
      </c>
      <c r="F30" t="s">
        <v>31</v>
      </c>
      <c r="M30" t="s">
        <v>138</v>
      </c>
      <c r="N30" t="s">
        <v>27</v>
      </c>
      <c r="Q30" t="s">
        <v>139</v>
      </c>
      <c r="S30" s="24">
        <v>5</v>
      </c>
      <c r="T30" s="24">
        <v>1</v>
      </c>
      <c r="U30" t="s">
        <v>140</v>
      </c>
      <c r="V30" s="2">
        <v>671870.7</v>
      </c>
    </row>
    <row r="31" spans="1:23" x14ac:dyDescent="0.25">
      <c r="A31" t="s">
        <v>141</v>
      </c>
      <c r="C31" t="s">
        <v>24</v>
      </c>
      <c r="F31" t="s">
        <v>25</v>
      </c>
      <c r="S31" s="24">
        <v>4</v>
      </c>
      <c r="T31" s="24">
        <v>2</v>
      </c>
      <c r="V31" s="2"/>
      <c r="W31" s="4">
        <v>45382</v>
      </c>
    </row>
    <row r="32" spans="1:23" x14ac:dyDescent="0.25">
      <c r="A32" t="s">
        <v>142</v>
      </c>
      <c r="C32" t="s">
        <v>24</v>
      </c>
      <c r="F32" t="s">
        <v>25</v>
      </c>
      <c r="M32" t="s">
        <v>126</v>
      </c>
      <c r="N32" t="s">
        <v>33</v>
      </c>
      <c r="Q32" t="s">
        <v>34</v>
      </c>
      <c r="S32" s="24">
        <v>6</v>
      </c>
      <c r="U32" t="s">
        <v>143</v>
      </c>
      <c r="V32" s="2">
        <v>656173.39199999999</v>
      </c>
      <c r="W32" s="4">
        <v>45397</v>
      </c>
    </row>
    <row r="33" spans="1:23" x14ac:dyDescent="0.25">
      <c r="A33" t="s">
        <v>144</v>
      </c>
      <c r="B33" t="s">
        <v>55</v>
      </c>
      <c r="C33" t="s">
        <v>24</v>
      </c>
      <c r="D33" t="s">
        <v>145</v>
      </c>
      <c r="F33" t="s">
        <v>25</v>
      </c>
      <c r="H33" s="24" t="s">
        <v>39</v>
      </c>
      <c r="I33" s="24" t="s">
        <v>39</v>
      </c>
      <c r="L33" s="24">
        <v>3</v>
      </c>
      <c r="M33" t="s">
        <v>104</v>
      </c>
      <c r="N33" t="s">
        <v>146</v>
      </c>
      <c r="O33" s="1">
        <v>0.49199999999999999</v>
      </c>
      <c r="P33" s="1">
        <v>-0.161</v>
      </c>
      <c r="Q33" t="s">
        <v>120</v>
      </c>
      <c r="S33" s="24">
        <v>4</v>
      </c>
      <c r="T33" s="24">
        <v>1</v>
      </c>
      <c r="V33" s="2">
        <v>631245</v>
      </c>
      <c r="W33" s="4">
        <v>45401</v>
      </c>
    </row>
    <row r="34" spans="1:23" x14ac:dyDescent="0.25">
      <c r="A34" t="s">
        <v>147</v>
      </c>
      <c r="C34" t="s">
        <v>24</v>
      </c>
      <c r="S34" s="24">
        <v>6</v>
      </c>
      <c r="U34" t="s">
        <v>148</v>
      </c>
      <c r="V34" s="2">
        <v>663718.85600000003</v>
      </c>
    </row>
    <row r="35" spans="1:23" x14ac:dyDescent="0.25">
      <c r="V35" s="2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E3F95-957C-44C3-B47A-FEC6CCA7C9E9}">
  <sheetPr codeName="Sheet2"/>
  <dimension ref="A1:BA33"/>
  <sheetViews>
    <sheetView workbookViewId="0"/>
  </sheetViews>
  <sheetFormatPr defaultRowHeight="15" x14ac:dyDescent="0.25"/>
  <cols>
    <col min="1" max="1" width="25.28515625" bestFit="1" customWidth="1"/>
    <col min="2" max="2" width="16" bestFit="1" customWidth="1"/>
    <col min="3" max="3" width="16.42578125" bestFit="1" customWidth="1"/>
    <col min="4" max="4" width="13.7109375" bestFit="1" customWidth="1"/>
    <col min="5" max="5" width="12.28515625" customWidth="1"/>
    <col min="6" max="6" width="12.7109375" customWidth="1"/>
    <col min="7" max="7" width="11.140625" bestFit="1" customWidth="1"/>
    <col min="8" max="8" width="11.28515625" bestFit="1" customWidth="1"/>
    <col min="9" max="9" width="16.42578125" style="5" customWidth="1"/>
    <col min="10" max="10" width="4.28515625" customWidth="1"/>
    <col min="11" max="11" width="6.7109375" style="6" customWidth="1"/>
    <col min="12" max="12" width="4.42578125" style="6" customWidth="1"/>
    <col min="13" max="13" width="3.7109375" style="6" customWidth="1"/>
    <col min="14" max="15" width="5.85546875" style="6" customWidth="1"/>
    <col min="16" max="16" width="13.5703125" bestFit="1" customWidth="1"/>
    <col min="17" max="17" width="12.7109375" customWidth="1"/>
    <col min="18" max="18" width="12.42578125" style="2" customWidth="1"/>
    <col min="19" max="19" width="10.42578125" customWidth="1"/>
    <col min="20" max="20" width="4.5703125" style="24" customWidth="1"/>
    <col min="21" max="21" width="6.42578125" style="151" customWidth="1"/>
    <col min="22" max="22" width="7.42578125" style="140" customWidth="1"/>
    <col min="23" max="23" width="6.42578125" style="140" customWidth="1"/>
    <col min="24" max="25" width="7.42578125" style="140" customWidth="1"/>
    <col min="26" max="26" width="6.140625" style="24" customWidth="1"/>
    <col min="27" max="27" width="7.42578125" customWidth="1"/>
    <col min="28" max="28" width="3.5703125" customWidth="1"/>
    <col min="29" max="29" width="7.42578125" customWidth="1"/>
    <col min="30" max="30" width="6.28515625" customWidth="1"/>
    <col min="31" max="31" width="8.42578125" customWidth="1"/>
    <col min="32" max="32" width="6.85546875" style="151" customWidth="1"/>
    <col min="33" max="33" width="8.28515625" style="24" bestFit="1" customWidth="1"/>
    <col min="34" max="34" width="49.5703125" customWidth="1"/>
    <col min="35" max="53" width="6" bestFit="1" customWidth="1"/>
  </cols>
  <sheetData>
    <row r="1" spans="1:53" ht="147.75" x14ac:dyDescent="0.25">
      <c r="A1" t="s">
        <v>20</v>
      </c>
      <c r="B1" t="s">
        <v>149</v>
      </c>
      <c r="C1" t="s">
        <v>150</v>
      </c>
      <c r="D1" t="s">
        <v>151</v>
      </c>
      <c r="E1" t="s">
        <v>152</v>
      </c>
      <c r="F1" t="s">
        <v>153</v>
      </c>
      <c r="G1" t="s">
        <v>154</v>
      </c>
      <c r="H1" t="s">
        <v>155</v>
      </c>
      <c r="I1" s="5" t="s">
        <v>22</v>
      </c>
      <c r="J1" t="s">
        <v>156</v>
      </c>
      <c r="K1" s="6" t="s">
        <v>157</v>
      </c>
      <c r="L1" s="6" t="s">
        <v>158</v>
      </c>
      <c r="M1" s="6" t="s">
        <v>159</v>
      </c>
      <c r="N1" s="6" t="s">
        <v>160</v>
      </c>
      <c r="O1" s="6" t="s">
        <v>161</v>
      </c>
      <c r="P1" t="s">
        <v>162</v>
      </c>
      <c r="Q1" t="s">
        <v>163</v>
      </c>
      <c r="R1" s="2" t="s">
        <v>164</v>
      </c>
      <c r="S1" s="143" t="s">
        <v>165</v>
      </c>
      <c r="T1" s="144" t="s">
        <v>166</v>
      </c>
      <c r="U1" s="145" t="s">
        <v>167</v>
      </c>
      <c r="V1" s="146" t="s">
        <v>168</v>
      </c>
      <c r="W1" s="146" t="s">
        <v>169</v>
      </c>
      <c r="X1" s="146" t="s">
        <v>170</v>
      </c>
      <c r="Y1" s="146" t="s">
        <v>171</v>
      </c>
      <c r="Z1" s="147" t="s">
        <v>172</v>
      </c>
      <c r="AA1" s="148" t="s">
        <v>173</v>
      </c>
      <c r="AB1" s="144" t="s">
        <v>174</v>
      </c>
      <c r="AC1" s="144" t="s">
        <v>175</v>
      </c>
      <c r="AD1" s="147" t="s">
        <v>176</v>
      </c>
      <c r="AE1" s="148" t="s">
        <v>177</v>
      </c>
      <c r="AF1" s="149" t="s">
        <v>178</v>
      </c>
      <c r="AG1" s="150" t="s">
        <v>179</v>
      </c>
      <c r="AH1" s="8" t="s">
        <v>180</v>
      </c>
      <c r="AI1" s="9" t="s">
        <v>181</v>
      </c>
      <c r="AJ1" s="9" t="s">
        <v>182</v>
      </c>
      <c r="AK1" s="9" t="s">
        <v>183</v>
      </c>
      <c r="AL1" s="9" t="s">
        <v>184</v>
      </c>
      <c r="AM1" s="9" t="s">
        <v>185</v>
      </c>
      <c r="AN1" s="9" t="s">
        <v>186</v>
      </c>
      <c r="AO1" s="9" t="s">
        <v>187</v>
      </c>
      <c r="AP1" s="9" t="s">
        <v>188</v>
      </c>
      <c r="AQ1" s="9" t="s">
        <v>189</v>
      </c>
      <c r="AR1" s="9" t="s">
        <v>190</v>
      </c>
      <c r="AS1" s="9" t="s">
        <v>191</v>
      </c>
      <c r="AT1" s="9" t="s">
        <v>192</v>
      </c>
      <c r="AU1" s="9" t="s">
        <v>193</v>
      </c>
      <c r="AV1" s="9" t="s">
        <v>194</v>
      </c>
      <c r="AW1" s="9" t="s">
        <v>195</v>
      </c>
      <c r="AX1" s="9" t="s">
        <v>196</v>
      </c>
      <c r="AY1" s="9" t="s">
        <v>197</v>
      </c>
      <c r="AZ1" s="9" t="s">
        <v>198</v>
      </c>
      <c r="BA1" s="9" t="s">
        <v>199</v>
      </c>
    </row>
    <row r="2" spans="1:53" x14ac:dyDescent="0.25">
      <c r="A2" t="s">
        <v>114</v>
      </c>
      <c r="B2" t="s">
        <v>109</v>
      </c>
      <c r="C2" t="s">
        <v>200</v>
      </c>
      <c r="D2" t="s">
        <v>201</v>
      </c>
      <c r="E2" t="s">
        <v>202</v>
      </c>
      <c r="F2" t="s">
        <v>203</v>
      </c>
      <c r="G2" t="s">
        <v>204</v>
      </c>
      <c r="H2" t="s">
        <v>205</v>
      </c>
      <c r="Q2" t="s">
        <v>206</v>
      </c>
      <c r="R2" s="10">
        <v>665266.50399999996</v>
      </c>
      <c r="S2" t="s">
        <v>187</v>
      </c>
      <c r="T2" s="24" t="s">
        <v>207</v>
      </c>
      <c r="U2" s="151">
        <v>0.4</v>
      </c>
      <c r="V2" s="151"/>
      <c r="Y2" s="140">
        <f t="shared" ref="Y2:Y33" si="0">X2/60</f>
        <v>0</v>
      </c>
      <c r="Z2" s="155" t="s">
        <v>208</v>
      </c>
      <c r="AA2" t="s">
        <v>209</v>
      </c>
      <c r="AB2" s="24" t="s">
        <v>207</v>
      </c>
      <c r="AC2" s="151">
        <v>0.4</v>
      </c>
      <c r="AD2" s="155" t="s">
        <v>208</v>
      </c>
      <c r="AE2" s="24" t="s">
        <v>210</v>
      </c>
      <c r="AG2" s="154" t="s">
        <v>208</v>
      </c>
      <c r="AH2" s="153" t="s">
        <v>211</v>
      </c>
      <c r="AN2" t="s">
        <v>39</v>
      </c>
      <c r="AO2" t="s">
        <v>39</v>
      </c>
      <c r="AT2" t="s">
        <v>39</v>
      </c>
      <c r="BA2" t="s">
        <v>39</v>
      </c>
    </row>
    <row r="3" spans="1:53" x14ac:dyDescent="0.25">
      <c r="A3" t="s">
        <v>212</v>
      </c>
      <c r="B3" t="s">
        <v>135</v>
      </c>
      <c r="C3" t="s">
        <v>213</v>
      </c>
      <c r="D3" t="s">
        <v>201</v>
      </c>
      <c r="E3" t="s">
        <v>214</v>
      </c>
      <c r="F3" t="s">
        <v>203</v>
      </c>
      <c r="G3" t="s">
        <v>215</v>
      </c>
      <c r="H3" t="s">
        <v>205</v>
      </c>
      <c r="Q3" t="s">
        <v>216</v>
      </c>
      <c r="R3" s="10">
        <v>714158.52399999998</v>
      </c>
      <c r="V3" s="151"/>
      <c r="Y3" s="140">
        <f t="shared" si="0"/>
        <v>0</v>
      </c>
      <c r="Z3" s="152"/>
      <c r="AB3" s="24"/>
      <c r="AC3" s="24"/>
      <c r="AD3" s="152"/>
      <c r="AE3" s="24"/>
      <c r="AG3" s="96"/>
      <c r="AH3" s="153"/>
      <c r="AN3" t="s">
        <v>39</v>
      </c>
      <c r="AO3" t="s">
        <v>39</v>
      </c>
      <c r="AT3" t="s">
        <v>39</v>
      </c>
      <c r="BA3" t="s">
        <v>39</v>
      </c>
    </row>
    <row r="4" spans="1:53" x14ac:dyDescent="0.25">
      <c r="A4" t="s">
        <v>148</v>
      </c>
      <c r="B4" t="s">
        <v>147</v>
      </c>
      <c r="C4" t="s">
        <v>217</v>
      </c>
      <c r="D4" t="s">
        <v>218</v>
      </c>
      <c r="Q4" t="s">
        <v>219</v>
      </c>
      <c r="R4" s="10">
        <v>663718.85600000003</v>
      </c>
      <c r="S4" t="s">
        <v>220</v>
      </c>
      <c r="V4" s="151"/>
      <c r="Y4" s="140">
        <f t="shared" si="0"/>
        <v>0</v>
      </c>
      <c r="Z4" s="152"/>
      <c r="AA4" t="s">
        <v>220</v>
      </c>
      <c r="AB4" s="24"/>
      <c r="AC4" s="24"/>
      <c r="AD4" s="152"/>
      <c r="AE4" s="24" t="s">
        <v>220</v>
      </c>
      <c r="AG4" s="96"/>
      <c r="AH4" s="153" t="s">
        <v>221</v>
      </c>
      <c r="AN4" t="s">
        <v>39</v>
      </c>
      <c r="AO4" t="s">
        <v>39</v>
      </c>
      <c r="AT4" t="s">
        <v>39</v>
      </c>
      <c r="BA4" t="s">
        <v>39</v>
      </c>
    </row>
    <row r="5" spans="1:53" x14ac:dyDescent="0.25">
      <c r="A5" t="s">
        <v>70</v>
      </c>
      <c r="B5" t="s">
        <v>66</v>
      </c>
      <c r="C5" t="s">
        <v>222</v>
      </c>
      <c r="D5" t="s">
        <v>223</v>
      </c>
      <c r="E5" t="s">
        <v>224</v>
      </c>
      <c r="F5" t="s">
        <v>225</v>
      </c>
      <c r="G5" t="s">
        <v>226</v>
      </c>
      <c r="H5" t="s">
        <v>227</v>
      </c>
      <c r="K5" s="6" t="s">
        <v>228</v>
      </c>
      <c r="L5" s="6" t="s">
        <v>229</v>
      </c>
      <c r="M5" s="6" t="s">
        <v>230</v>
      </c>
      <c r="Q5" t="s">
        <v>231</v>
      </c>
      <c r="R5" s="10">
        <v>666073.50800000003</v>
      </c>
      <c r="S5" t="s">
        <v>197</v>
      </c>
      <c r="T5" s="24" t="s">
        <v>232</v>
      </c>
      <c r="U5" s="151">
        <v>0.9</v>
      </c>
      <c r="V5" s="151"/>
      <c r="Y5" s="140">
        <f t="shared" si="0"/>
        <v>0</v>
      </c>
      <c r="Z5" s="152" t="s">
        <v>39</v>
      </c>
      <c r="AA5" t="s">
        <v>209</v>
      </c>
      <c r="AB5" s="24" t="s">
        <v>207</v>
      </c>
      <c r="AC5" s="151">
        <v>0.33</v>
      </c>
      <c r="AD5" s="152" t="s">
        <v>39</v>
      </c>
      <c r="AE5" s="151" t="s">
        <v>220</v>
      </c>
      <c r="AG5" s="96"/>
      <c r="AH5" s="153" t="s">
        <v>233</v>
      </c>
      <c r="AI5" t="s">
        <v>39</v>
      </c>
      <c r="AU5" t="s">
        <v>39</v>
      </c>
      <c r="AY5" t="s">
        <v>39</v>
      </c>
      <c r="AZ5" t="s">
        <v>39</v>
      </c>
    </row>
    <row r="6" spans="1:53" x14ac:dyDescent="0.25">
      <c r="A6" t="s">
        <v>121</v>
      </c>
      <c r="B6" t="s">
        <v>118</v>
      </c>
      <c r="C6" t="s">
        <v>234</v>
      </c>
      <c r="D6" t="s">
        <v>201</v>
      </c>
      <c r="E6" t="s">
        <v>235</v>
      </c>
      <c r="F6" t="s">
        <v>236</v>
      </c>
      <c r="G6" t="s">
        <v>236</v>
      </c>
      <c r="H6" t="s">
        <v>226</v>
      </c>
      <c r="K6" s="6" t="s">
        <v>237</v>
      </c>
      <c r="L6" s="6" t="s">
        <v>229</v>
      </c>
      <c r="M6" s="6" t="s">
        <v>230</v>
      </c>
      <c r="N6" s="13"/>
      <c r="O6" s="13"/>
      <c r="Q6" t="s">
        <v>238</v>
      </c>
      <c r="R6" s="10">
        <v>671870.7</v>
      </c>
      <c r="S6" t="s">
        <v>196</v>
      </c>
      <c r="T6" s="24" t="s">
        <v>207</v>
      </c>
      <c r="U6" s="151">
        <v>0.28000000000000003</v>
      </c>
      <c r="V6" s="140">
        <v>605</v>
      </c>
      <c r="W6" s="140">
        <v>3750</v>
      </c>
      <c r="X6" s="140">
        <v>372</v>
      </c>
      <c r="Y6" s="140">
        <f t="shared" si="0"/>
        <v>6.2</v>
      </c>
      <c r="Z6" s="152">
        <v>3</v>
      </c>
      <c r="AA6" t="s">
        <v>209</v>
      </c>
      <c r="AB6" s="24" t="s">
        <v>207</v>
      </c>
      <c r="AC6" s="151">
        <v>0.4</v>
      </c>
      <c r="AD6" s="152" t="s">
        <v>208</v>
      </c>
      <c r="AE6" s="24" t="s">
        <v>220</v>
      </c>
      <c r="AG6" s="96"/>
      <c r="AH6" s="153" t="s">
        <v>239</v>
      </c>
      <c r="AO6" t="s">
        <v>39</v>
      </c>
      <c r="AT6" t="s">
        <v>39</v>
      </c>
      <c r="AX6" t="s">
        <v>39</v>
      </c>
      <c r="BA6" t="s">
        <v>39</v>
      </c>
    </row>
    <row r="7" spans="1:53" x14ac:dyDescent="0.25">
      <c r="A7" t="s">
        <v>29</v>
      </c>
      <c r="B7" t="s">
        <v>23</v>
      </c>
      <c r="C7" t="s">
        <v>240</v>
      </c>
      <c r="D7" t="s">
        <v>241</v>
      </c>
      <c r="E7" t="s">
        <v>242</v>
      </c>
      <c r="F7" t="s">
        <v>225</v>
      </c>
      <c r="G7" t="s">
        <v>227</v>
      </c>
      <c r="H7" t="s">
        <v>227</v>
      </c>
      <c r="Q7" t="s">
        <v>243</v>
      </c>
      <c r="R7" s="10">
        <v>714508.95200000005</v>
      </c>
      <c r="S7" t="s">
        <v>244</v>
      </c>
      <c r="T7" s="24" t="s">
        <v>245</v>
      </c>
      <c r="V7" s="151"/>
      <c r="Y7" s="140">
        <f t="shared" si="0"/>
        <v>0</v>
      </c>
      <c r="Z7" s="152"/>
      <c r="AA7" t="s">
        <v>244</v>
      </c>
      <c r="AB7" s="24" t="s">
        <v>246</v>
      </c>
      <c r="AC7" s="24"/>
      <c r="AD7" s="152"/>
      <c r="AE7" s="24" t="s">
        <v>220</v>
      </c>
      <c r="AG7" s="96"/>
      <c r="AH7" s="153"/>
      <c r="AO7" t="s">
        <v>39</v>
      </c>
      <c r="AT7" t="s">
        <v>39</v>
      </c>
      <c r="AW7" t="s">
        <v>39</v>
      </c>
      <c r="BA7" t="s">
        <v>39</v>
      </c>
    </row>
    <row r="8" spans="1:53" x14ac:dyDescent="0.25">
      <c r="A8" t="s">
        <v>53</v>
      </c>
      <c r="B8" t="s">
        <v>49</v>
      </c>
      <c r="C8" t="s">
        <v>247</v>
      </c>
      <c r="D8" t="s">
        <v>223</v>
      </c>
      <c r="E8" t="s">
        <v>248</v>
      </c>
      <c r="F8" t="s">
        <v>225</v>
      </c>
      <c r="G8" t="s">
        <v>204</v>
      </c>
      <c r="H8" t="s">
        <v>227</v>
      </c>
      <c r="Q8" t="s">
        <v>249</v>
      </c>
      <c r="R8" s="10">
        <v>665687.73600000003</v>
      </c>
      <c r="S8" t="s">
        <v>220</v>
      </c>
      <c r="V8" s="151"/>
      <c r="Y8" s="140">
        <f t="shared" si="0"/>
        <v>0</v>
      </c>
      <c r="Z8" s="152"/>
      <c r="AA8" t="s">
        <v>220</v>
      </c>
      <c r="AB8" s="24"/>
      <c r="AC8" s="24"/>
      <c r="AD8" s="152"/>
      <c r="AE8" s="24" t="s">
        <v>220</v>
      </c>
      <c r="AG8" s="96"/>
      <c r="AH8" s="153" t="s">
        <v>250</v>
      </c>
      <c r="AO8" t="s">
        <v>39</v>
      </c>
      <c r="AU8" t="s">
        <v>39</v>
      </c>
      <c r="AX8" t="s">
        <v>39</v>
      </c>
      <c r="AZ8" t="s">
        <v>39</v>
      </c>
    </row>
    <row r="9" spans="1:53" x14ac:dyDescent="0.25">
      <c r="A9" t="s">
        <v>127</v>
      </c>
      <c r="B9" t="s">
        <v>125</v>
      </c>
      <c r="C9" t="s">
        <v>251</v>
      </c>
      <c r="D9" t="s">
        <v>215</v>
      </c>
      <c r="E9" t="s">
        <v>214</v>
      </c>
      <c r="F9" t="s">
        <v>252</v>
      </c>
      <c r="G9" t="s">
        <v>215</v>
      </c>
      <c r="H9" t="s">
        <v>253</v>
      </c>
      <c r="J9" t="s">
        <v>39</v>
      </c>
      <c r="P9" t="s">
        <v>254</v>
      </c>
      <c r="Q9" t="s">
        <v>255</v>
      </c>
      <c r="R9" s="10">
        <v>663617.48</v>
      </c>
      <c r="S9" t="s">
        <v>192</v>
      </c>
      <c r="T9" s="24" t="s">
        <v>207</v>
      </c>
      <c r="U9" s="151">
        <v>0.36</v>
      </c>
      <c r="V9" s="151"/>
      <c r="Y9" s="140">
        <f t="shared" si="0"/>
        <v>0</v>
      </c>
      <c r="Z9" s="152"/>
      <c r="AA9" t="s">
        <v>220</v>
      </c>
      <c r="AB9" s="24"/>
      <c r="AC9" s="24"/>
      <c r="AD9" s="152"/>
      <c r="AE9" s="24" t="s">
        <v>220</v>
      </c>
      <c r="AG9" s="96"/>
      <c r="AH9" s="153"/>
      <c r="AO9" t="s">
        <v>39</v>
      </c>
      <c r="AS9" t="s">
        <v>39</v>
      </c>
      <c r="AT9" t="s">
        <v>39</v>
      </c>
      <c r="BA9" t="s">
        <v>39</v>
      </c>
    </row>
    <row r="10" spans="1:53" x14ac:dyDescent="0.25">
      <c r="A10" t="s">
        <v>143</v>
      </c>
      <c r="B10" t="s">
        <v>142</v>
      </c>
      <c r="C10" t="s">
        <v>256</v>
      </c>
      <c r="D10" t="s">
        <v>146</v>
      </c>
      <c r="E10" t="s">
        <v>257</v>
      </c>
      <c r="F10" t="s">
        <v>205</v>
      </c>
      <c r="G10" t="s">
        <v>236</v>
      </c>
      <c r="H10" t="s">
        <v>226</v>
      </c>
      <c r="K10" s="6" t="s">
        <v>258</v>
      </c>
      <c r="Q10" t="s">
        <v>259</v>
      </c>
      <c r="R10" s="10">
        <v>656173.39199999999</v>
      </c>
      <c r="S10" t="s">
        <v>220</v>
      </c>
      <c r="V10" s="151"/>
      <c r="Y10" s="140">
        <f t="shared" si="0"/>
        <v>0</v>
      </c>
      <c r="Z10" s="152"/>
      <c r="AA10" t="s">
        <v>244</v>
      </c>
      <c r="AB10" s="24" t="s">
        <v>246</v>
      </c>
      <c r="AC10" s="24"/>
      <c r="AD10" s="152"/>
      <c r="AE10" s="24" t="s">
        <v>220</v>
      </c>
      <c r="AG10" s="96"/>
      <c r="AH10" s="153" t="s">
        <v>260</v>
      </c>
      <c r="AO10" t="s">
        <v>39</v>
      </c>
      <c r="AT10" t="s">
        <v>39</v>
      </c>
      <c r="AW10" t="s">
        <v>39</v>
      </c>
      <c r="BA10" t="s">
        <v>39</v>
      </c>
    </row>
    <row r="11" spans="1:53" x14ac:dyDescent="0.25">
      <c r="A11" t="s">
        <v>261</v>
      </c>
      <c r="B11" t="s">
        <v>36</v>
      </c>
      <c r="C11" t="s">
        <v>262</v>
      </c>
      <c r="D11" t="s">
        <v>201</v>
      </c>
      <c r="E11" t="s">
        <v>214</v>
      </c>
      <c r="F11" t="s">
        <v>263</v>
      </c>
      <c r="G11" t="s">
        <v>264</v>
      </c>
      <c r="H11" t="s">
        <v>205</v>
      </c>
      <c r="I11" s="5">
        <v>45405</v>
      </c>
      <c r="N11" s="6" t="s">
        <v>265</v>
      </c>
      <c r="O11" s="6" t="s">
        <v>266</v>
      </c>
      <c r="R11" s="10"/>
      <c r="S11" t="s">
        <v>196</v>
      </c>
      <c r="T11" s="24" t="s">
        <v>267</v>
      </c>
      <c r="U11" s="151">
        <v>0.77</v>
      </c>
      <c r="V11" s="140">
        <v>1095</v>
      </c>
      <c r="W11" s="140">
        <v>3750</v>
      </c>
      <c r="X11" s="140">
        <v>205</v>
      </c>
      <c r="Y11" s="140">
        <f t="shared" si="0"/>
        <v>3.4166666666666665</v>
      </c>
      <c r="Z11" s="152">
        <v>3</v>
      </c>
      <c r="AB11" s="24"/>
      <c r="AC11" s="24"/>
      <c r="AD11" s="152"/>
      <c r="AE11" s="24"/>
      <c r="AG11" s="96"/>
      <c r="AH11" s="153" t="s">
        <v>268</v>
      </c>
    </row>
    <row r="12" spans="1:53" x14ac:dyDescent="0.25">
      <c r="A12" t="s">
        <v>95</v>
      </c>
      <c r="B12" t="s">
        <v>92</v>
      </c>
      <c r="C12" t="s">
        <v>269</v>
      </c>
      <c r="D12" t="s">
        <v>270</v>
      </c>
      <c r="E12" t="s">
        <v>271</v>
      </c>
      <c r="F12" t="s">
        <v>272</v>
      </c>
      <c r="G12" t="s">
        <v>273</v>
      </c>
      <c r="H12" t="s">
        <v>274</v>
      </c>
      <c r="K12" s="6" t="s">
        <v>275</v>
      </c>
      <c r="L12" s="6" t="s">
        <v>276</v>
      </c>
      <c r="M12" s="6" t="s">
        <v>277</v>
      </c>
      <c r="Q12" t="s">
        <v>278</v>
      </c>
      <c r="R12" s="10">
        <v>714508.95200000005</v>
      </c>
      <c r="S12" t="s">
        <v>244</v>
      </c>
      <c r="T12" s="24" t="s">
        <v>246</v>
      </c>
      <c r="V12" s="151"/>
      <c r="Y12" s="140">
        <f t="shared" si="0"/>
        <v>0</v>
      </c>
      <c r="Z12" s="152"/>
      <c r="AA12" t="s">
        <v>220</v>
      </c>
      <c r="AB12" s="24"/>
      <c r="AC12" s="24"/>
      <c r="AD12" s="152"/>
      <c r="AE12" s="24" t="s">
        <v>220</v>
      </c>
      <c r="AG12" s="96"/>
      <c r="AH12" s="153"/>
      <c r="AJ12" t="s">
        <v>39</v>
      </c>
      <c r="AO12" t="s">
        <v>39</v>
      </c>
      <c r="AR12" t="s">
        <v>39</v>
      </c>
      <c r="AS12" t="s">
        <v>39</v>
      </c>
    </row>
    <row r="13" spans="1:53" x14ac:dyDescent="0.25">
      <c r="A13" t="s">
        <v>279</v>
      </c>
      <c r="B13" t="s">
        <v>36</v>
      </c>
      <c r="C13" t="s">
        <v>262</v>
      </c>
      <c r="D13" t="s">
        <v>201</v>
      </c>
      <c r="E13" t="s">
        <v>214</v>
      </c>
      <c r="F13" t="s">
        <v>263</v>
      </c>
      <c r="G13" t="s">
        <v>264</v>
      </c>
      <c r="H13" t="s">
        <v>205</v>
      </c>
      <c r="I13" s="5">
        <v>45402</v>
      </c>
      <c r="N13" s="6" t="s">
        <v>280</v>
      </c>
      <c r="O13" s="6" t="s">
        <v>281</v>
      </c>
      <c r="R13" s="10"/>
      <c r="S13" t="s">
        <v>196</v>
      </c>
      <c r="T13" s="24" t="s">
        <v>267</v>
      </c>
      <c r="U13" s="151">
        <v>0.97</v>
      </c>
      <c r="V13" s="140">
        <v>1152</v>
      </c>
      <c r="W13" s="140">
        <v>3750</v>
      </c>
      <c r="X13" s="140">
        <v>205</v>
      </c>
      <c r="Y13" s="140">
        <f t="shared" si="0"/>
        <v>3.4166666666666665</v>
      </c>
      <c r="Z13" s="152">
        <v>3</v>
      </c>
      <c r="AB13" s="24"/>
      <c r="AC13" s="24"/>
      <c r="AD13" s="152"/>
      <c r="AE13" s="24"/>
      <c r="AG13" s="96"/>
      <c r="AH13" s="153" t="s">
        <v>282</v>
      </c>
    </row>
    <row r="14" spans="1:53" x14ac:dyDescent="0.25">
      <c r="A14" t="s">
        <v>48</v>
      </c>
      <c r="B14" t="s">
        <v>44</v>
      </c>
      <c r="C14" t="s">
        <v>283</v>
      </c>
      <c r="D14" t="s">
        <v>284</v>
      </c>
      <c r="E14" t="s">
        <v>285</v>
      </c>
      <c r="F14" t="s">
        <v>286</v>
      </c>
      <c r="G14" t="s">
        <v>287</v>
      </c>
      <c r="H14" t="s">
        <v>215</v>
      </c>
      <c r="K14" s="6" t="s">
        <v>288</v>
      </c>
      <c r="L14" s="6" t="s">
        <v>289</v>
      </c>
      <c r="M14" s="6" t="s">
        <v>290</v>
      </c>
      <c r="Q14" t="s">
        <v>291</v>
      </c>
      <c r="R14" s="10">
        <v>708537.53599999996</v>
      </c>
      <c r="S14" t="s">
        <v>191</v>
      </c>
      <c r="T14" s="24" t="s">
        <v>267</v>
      </c>
      <c r="U14" s="151">
        <v>0.8</v>
      </c>
      <c r="V14" s="151"/>
      <c r="Y14" s="140">
        <f t="shared" si="0"/>
        <v>0</v>
      </c>
      <c r="Z14" s="152" t="s">
        <v>208</v>
      </c>
      <c r="AA14" t="s">
        <v>220</v>
      </c>
      <c r="AB14" s="24"/>
      <c r="AC14" s="24"/>
      <c r="AD14" s="152"/>
      <c r="AE14" s="24" t="s">
        <v>246</v>
      </c>
      <c r="AG14" s="96"/>
      <c r="AH14" s="153" t="s">
        <v>292</v>
      </c>
      <c r="AO14" t="s">
        <v>39</v>
      </c>
      <c r="AS14" t="s">
        <v>39</v>
      </c>
      <c r="AU14" t="s">
        <v>39</v>
      </c>
      <c r="AZ14" t="s">
        <v>39</v>
      </c>
    </row>
    <row r="15" spans="1:53" x14ac:dyDescent="0.25">
      <c r="A15" t="s">
        <v>140</v>
      </c>
      <c r="B15" t="s">
        <v>137</v>
      </c>
      <c r="C15" t="s">
        <v>293</v>
      </c>
      <c r="D15" t="s">
        <v>294</v>
      </c>
      <c r="E15" t="s">
        <v>214</v>
      </c>
      <c r="F15" t="s">
        <v>205</v>
      </c>
      <c r="G15" t="s">
        <v>226</v>
      </c>
      <c r="H15" t="s">
        <v>227</v>
      </c>
      <c r="K15" s="6" t="s">
        <v>295</v>
      </c>
      <c r="L15" s="6" t="s">
        <v>230</v>
      </c>
      <c r="M15" s="6" t="s">
        <v>296</v>
      </c>
      <c r="Q15" t="s">
        <v>297</v>
      </c>
      <c r="R15" s="10">
        <v>671870.7</v>
      </c>
      <c r="S15" t="s">
        <v>220</v>
      </c>
      <c r="V15" s="151"/>
      <c r="Y15" s="140">
        <f t="shared" si="0"/>
        <v>0</v>
      </c>
      <c r="Z15" s="152"/>
      <c r="AA15" t="s">
        <v>244</v>
      </c>
      <c r="AB15" s="24" t="s">
        <v>246</v>
      </c>
      <c r="AC15" s="24"/>
      <c r="AD15" s="152"/>
      <c r="AE15" s="24" t="s">
        <v>246</v>
      </c>
      <c r="AG15" s="96"/>
      <c r="AH15" s="153" t="s">
        <v>298</v>
      </c>
      <c r="AO15" t="s">
        <v>39</v>
      </c>
      <c r="AT15" t="s">
        <v>39</v>
      </c>
      <c r="AX15" t="s">
        <v>39</v>
      </c>
      <c r="BA15" t="s">
        <v>39</v>
      </c>
    </row>
    <row r="16" spans="1:53" x14ac:dyDescent="0.25">
      <c r="A16" t="s">
        <v>107</v>
      </c>
      <c r="B16" t="s">
        <v>105</v>
      </c>
      <c r="C16" t="s">
        <v>299</v>
      </c>
      <c r="D16" t="s">
        <v>270</v>
      </c>
      <c r="E16" t="s">
        <v>300</v>
      </c>
      <c r="F16" t="s">
        <v>301</v>
      </c>
      <c r="G16" t="s">
        <v>205</v>
      </c>
      <c r="H16" t="s">
        <v>302</v>
      </c>
      <c r="Q16" t="s">
        <v>303</v>
      </c>
      <c r="R16" s="10">
        <v>708537.53599999996</v>
      </c>
      <c r="S16" t="s">
        <v>244</v>
      </c>
      <c r="T16" s="24" t="s">
        <v>246</v>
      </c>
      <c r="V16" s="151"/>
      <c r="Y16" s="140">
        <f t="shared" si="0"/>
        <v>0</v>
      </c>
      <c r="Z16" s="152"/>
      <c r="AA16" t="s">
        <v>209</v>
      </c>
      <c r="AB16" s="24" t="s">
        <v>304</v>
      </c>
      <c r="AC16" s="151">
        <v>0.6</v>
      </c>
      <c r="AD16" s="152"/>
      <c r="AE16" s="24" t="s">
        <v>220</v>
      </c>
      <c r="AG16" s="96"/>
      <c r="AH16" s="153" t="s">
        <v>305</v>
      </c>
      <c r="AJ16" t="s">
        <v>39</v>
      </c>
      <c r="AO16" t="s">
        <v>39</v>
      </c>
      <c r="AR16" t="s">
        <v>39</v>
      </c>
      <c r="AY16" t="s">
        <v>39</v>
      </c>
    </row>
    <row r="17" spans="1:53" x14ac:dyDescent="0.25">
      <c r="A17" t="s">
        <v>100</v>
      </c>
      <c r="B17" t="s">
        <v>96</v>
      </c>
      <c r="C17" t="s">
        <v>306</v>
      </c>
      <c r="D17" t="s">
        <v>201</v>
      </c>
      <c r="E17" t="s">
        <v>307</v>
      </c>
      <c r="F17" t="s">
        <v>286</v>
      </c>
      <c r="G17" t="s">
        <v>308</v>
      </c>
      <c r="H17" t="s">
        <v>264</v>
      </c>
      <c r="K17" s="6" t="s">
        <v>309</v>
      </c>
      <c r="L17" s="6" t="s">
        <v>289</v>
      </c>
      <c r="M17" s="6" t="s">
        <v>310</v>
      </c>
      <c r="Q17" t="s">
        <v>311</v>
      </c>
      <c r="R17" s="10">
        <v>708735.66</v>
      </c>
      <c r="S17" t="s">
        <v>185</v>
      </c>
      <c r="T17" s="24" t="s">
        <v>232</v>
      </c>
      <c r="U17" s="151">
        <v>1</v>
      </c>
      <c r="V17" s="151"/>
      <c r="Y17" s="140">
        <f t="shared" si="0"/>
        <v>0</v>
      </c>
      <c r="Z17" s="152" t="s">
        <v>39</v>
      </c>
      <c r="AA17" t="s">
        <v>220</v>
      </c>
      <c r="AB17" s="24"/>
      <c r="AC17" s="24"/>
      <c r="AD17" s="152"/>
      <c r="AE17" s="24" t="s">
        <v>220</v>
      </c>
      <c r="AG17" s="96"/>
      <c r="AH17" s="153" t="s">
        <v>312</v>
      </c>
      <c r="AM17" t="s">
        <v>39</v>
      </c>
      <c r="AN17" t="s">
        <v>39</v>
      </c>
      <c r="AT17" t="s">
        <v>39</v>
      </c>
      <c r="BA17" t="s">
        <v>39</v>
      </c>
    </row>
    <row r="18" spans="1:53" x14ac:dyDescent="0.25">
      <c r="A18" t="s">
        <v>65</v>
      </c>
      <c r="B18" t="s">
        <v>59</v>
      </c>
      <c r="C18" t="s">
        <v>313</v>
      </c>
      <c r="D18" t="s">
        <v>201</v>
      </c>
      <c r="E18" t="s">
        <v>314</v>
      </c>
      <c r="F18" t="s">
        <v>315</v>
      </c>
      <c r="G18" t="s">
        <v>308</v>
      </c>
      <c r="H18" t="s">
        <v>76</v>
      </c>
      <c r="I18" s="5">
        <v>45399</v>
      </c>
      <c r="K18" s="6" t="s">
        <v>316</v>
      </c>
      <c r="Q18" t="s">
        <v>317</v>
      </c>
      <c r="R18" s="10">
        <v>648286.60400000005</v>
      </c>
      <c r="S18" t="s">
        <v>244</v>
      </c>
      <c r="T18" s="24" t="s">
        <v>246</v>
      </c>
      <c r="V18" s="151"/>
      <c r="Y18" s="140">
        <f t="shared" si="0"/>
        <v>0</v>
      </c>
      <c r="Z18" s="152"/>
      <c r="AB18" s="24"/>
      <c r="AC18" s="24"/>
      <c r="AD18" s="152"/>
      <c r="AE18" s="24"/>
      <c r="AG18" s="96"/>
      <c r="AH18" s="153" t="s">
        <v>318</v>
      </c>
      <c r="AO18" t="s">
        <v>39</v>
      </c>
      <c r="AT18" t="s">
        <v>39</v>
      </c>
      <c r="AY18" t="s">
        <v>39</v>
      </c>
      <c r="BA18" t="s">
        <v>39</v>
      </c>
    </row>
    <row r="19" spans="1:53" x14ac:dyDescent="0.25">
      <c r="A19" t="s">
        <v>129</v>
      </c>
      <c r="B19" t="s">
        <v>128</v>
      </c>
      <c r="C19" t="s">
        <v>319</v>
      </c>
      <c r="D19" t="s">
        <v>320</v>
      </c>
      <c r="E19" t="s">
        <v>321</v>
      </c>
      <c r="F19" t="s">
        <v>286</v>
      </c>
      <c r="G19" t="s">
        <v>226</v>
      </c>
      <c r="H19" t="s">
        <v>215</v>
      </c>
      <c r="Q19" t="s">
        <v>322</v>
      </c>
      <c r="R19" s="10">
        <v>707949.03599999996</v>
      </c>
      <c r="S19" t="s">
        <v>181</v>
      </c>
      <c r="T19" s="24" t="s">
        <v>207</v>
      </c>
      <c r="U19" s="151">
        <v>0.4</v>
      </c>
      <c r="V19" s="151"/>
      <c r="Y19" s="140">
        <f t="shared" si="0"/>
        <v>0</v>
      </c>
      <c r="Z19" s="152" t="s">
        <v>208</v>
      </c>
      <c r="AA19" t="s">
        <v>323</v>
      </c>
      <c r="AB19" s="24" t="s">
        <v>207</v>
      </c>
      <c r="AC19" s="151">
        <v>0.4</v>
      </c>
      <c r="AD19" s="152" t="s">
        <v>208</v>
      </c>
      <c r="AE19" s="24" t="s">
        <v>210</v>
      </c>
      <c r="AG19" s="96" t="s">
        <v>208</v>
      </c>
      <c r="AH19" s="153" t="s">
        <v>324</v>
      </c>
      <c r="AI19" t="s">
        <v>39</v>
      </c>
      <c r="AS19" t="s">
        <v>39</v>
      </c>
      <c r="AT19" t="s">
        <v>39</v>
      </c>
    </row>
    <row r="20" spans="1:53" x14ac:dyDescent="0.25">
      <c r="A20" t="s">
        <v>133</v>
      </c>
      <c r="B20" t="s">
        <v>130</v>
      </c>
      <c r="C20" t="s">
        <v>325</v>
      </c>
      <c r="D20" t="s">
        <v>201</v>
      </c>
      <c r="E20" t="s">
        <v>326</v>
      </c>
      <c r="F20" t="s">
        <v>327</v>
      </c>
      <c r="G20" t="s">
        <v>215</v>
      </c>
      <c r="H20" t="s">
        <v>308</v>
      </c>
      <c r="K20" s="6" t="s">
        <v>328</v>
      </c>
      <c r="L20" s="6" t="s">
        <v>329</v>
      </c>
      <c r="M20" s="6" t="s">
        <v>330</v>
      </c>
      <c r="Q20" t="s">
        <v>331</v>
      </c>
      <c r="R20" s="10">
        <v>714484.87600000005</v>
      </c>
      <c r="S20" t="s">
        <v>195</v>
      </c>
      <c r="T20" s="24" t="s">
        <v>207</v>
      </c>
      <c r="U20" s="151">
        <v>0.36</v>
      </c>
      <c r="V20" s="151"/>
      <c r="Y20" s="140">
        <f t="shared" si="0"/>
        <v>0</v>
      </c>
      <c r="Z20" s="152" t="s">
        <v>208</v>
      </c>
      <c r="AA20" t="s">
        <v>220</v>
      </c>
      <c r="AB20" s="24"/>
      <c r="AC20" s="24"/>
      <c r="AD20" s="152"/>
      <c r="AE20" s="24" t="s">
        <v>332</v>
      </c>
      <c r="AG20" s="96" t="s">
        <v>39</v>
      </c>
      <c r="AH20" s="153"/>
      <c r="AK20" t="s">
        <v>39</v>
      </c>
      <c r="AO20" t="s">
        <v>39</v>
      </c>
      <c r="AT20" t="s">
        <v>39</v>
      </c>
      <c r="AW20" t="s">
        <v>39</v>
      </c>
      <c r="BA20" t="s">
        <v>39</v>
      </c>
    </row>
    <row r="21" spans="1:53" x14ac:dyDescent="0.25">
      <c r="A21" t="s">
        <v>333</v>
      </c>
      <c r="B21" t="s">
        <v>36</v>
      </c>
      <c r="C21" t="s">
        <v>262</v>
      </c>
      <c r="D21" t="s">
        <v>201</v>
      </c>
      <c r="E21" t="s">
        <v>214</v>
      </c>
      <c r="F21" t="s">
        <v>263</v>
      </c>
      <c r="G21" t="s">
        <v>264</v>
      </c>
      <c r="H21" t="s">
        <v>205</v>
      </c>
      <c r="I21" s="5">
        <v>45405</v>
      </c>
      <c r="N21" s="6" t="s">
        <v>334</v>
      </c>
      <c r="O21" s="6" t="s">
        <v>335</v>
      </c>
      <c r="R21" s="10"/>
      <c r="S21" t="s">
        <v>196</v>
      </c>
      <c r="T21" s="24" t="s">
        <v>267</v>
      </c>
      <c r="U21" s="151">
        <v>0.78</v>
      </c>
      <c r="V21" s="140">
        <v>490</v>
      </c>
      <c r="W21" s="140">
        <v>3750</v>
      </c>
      <c r="X21" s="140">
        <v>470</v>
      </c>
      <c r="Y21" s="140">
        <f t="shared" si="0"/>
        <v>7.833333333333333</v>
      </c>
      <c r="Z21" s="152">
        <v>3</v>
      </c>
      <c r="AB21" s="24"/>
      <c r="AC21" s="24"/>
      <c r="AD21" s="152"/>
      <c r="AE21" s="24" t="s">
        <v>207</v>
      </c>
      <c r="AF21" s="151">
        <v>0.48</v>
      </c>
      <c r="AG21" s="96"/>
      <c r="AH21" s="153"/>
    </row>
    <row r="22" spans="1:53" x14ac:dyDescent="0.25">
      <c r="A22" t="s">
        <v>84</v>
      </c>
      <c r="B22" t="s">
        <v>81</v>
      </c>
      <c r="C22" t="s">
        <v>336</v>
      </c>
      <c r="D22" t="s">
        <v>337</v>
      </c>
      <c r="E22" t="s">
        <v>338</v>
      </c>
      <c r="F22" t="s">
        <v>339</v>
      </c>
      <c r="G22" t="s">
        <v>340</v>
      </c>
      <c r="H22" t="s">
        <v>215</v>
      </c>
      <c r="J22" t="s">
        <v>39</v>
      </c>
      <c r="Q22" t="s">
        <v>341</v>
      </c>
      <c r="R22" s="10">
        <v>714484.87600000005</v>
      </c>
      <c r="S22" t="s">
        <v>187</v>
      </c>
      <c r="T22" s="24" t="s">
        <v>304</v>
      </c>
      <c r="U22" s="151">
        <v>0.6</v>
      </c>
      <c r="V22" s="151"/>
      <c r="Y22" s="140">
        <f t="shared" si="0"/>
        <v>0</v>
      </c>
      <c r="Z22" s="152" t="s">
        <v>208</v>
      </c>
      <c r="AA22" t="s">
        <v>220</v>
      </c>
      <c r="AB22" s="24"/>
      <c r="AC22" s="24"/>
      <c r="AD22" s="152"/>
      <c r="AE22" s="24" t="s">
        <v>220</v>
      </c>
      <c r="AG22" s="96"/>
      <c r="AH22" s="153"/>
      <c r="AO22" t="s">
        <v>39</v>
      </c>
      <c r="AP22" t="s">
        <v>39</v>
      </c>
      <c r="AQ22" t="s">
        <v>39</v>
      </c>
      <c r="AS22" t="s">
        <v>39</v>
      </c>
    </row>
    <row r="23" spans="1:53" x14ac:dyDescent="0.25">
      <c r="A23" t="s">
        <v>87</v>
      </c>
      <c r="B23" t="s">
        <v>85</v>
      </c>
      <c r="C23" t="s">
        <v>342</v>
      </c>
      <c r="D23" t="s">
        <v>201</v>
      </c>
      <c r="E23" t="s">
        <v>343</v>
      </c>
      <c r="F23" t="s">
        <v>344</v>
      </c>
      <c r="G23" t="s">
        <v>345</v>
      </c>
      <c r="H23" t="s">
        <v>253</v>
      </c>
      <c r="P23" t="s">
        <v>346</v>
      </c>
      <c r="Q23" t="s">
        <v>347</v>
      </c>
      <c r="R23" s="10">
        <v>664848.85600000003</v>
      </c>
      <c r="S23" t="s">
        <v>191</v>
      </c>
      <c r="T23" s="24" t="s">
        <v>207</v>
      </c>
      <c r="U23" s="151">
        <v>0.4</v>
      </c>
      <c r="V23" s="151"/>
      <c r="Y23" s="140">
        <f t="shared" si="0"/>
        <v>0</v>
      </c>
      <c r="Z23" s="152" t="s">
        <v>208</v>
      </c>
      <c r="AA23" t="s">
        <v>209</v>
      </c>
      <c r="AB23" s="24" t="s">
        <v>207</v>
      </c>
      <c r="AC23" s="151">
        <v>0.4</v>
      </c>
      <c r="AD23" s="152" t="s">
        <v>208</v>
      </c>
      <c r="AE23" s="24" t="s">
        <v>210</v>
      </c>
      <c r="AG23" s="96" t="s">
        <v>208</v>
      </c>
      <c r="AH23" s="153" t="s">
        <v>348</v>
      </c>
    </row>
    <row r="24" spans="1:53" x14ac:dyDescent="0.25">
      <c r="A24" t="s">
        <v>349</v>
      </c>
      <c r="B24" t="s">
        <v>36</v>
      </c>
      <c r="C24" t="s">
        <v>262</v>
      </c>
      <c r="D24" t="s">
        <v>201</v>
      </c>
      <c r="E24" t="s">
        <v>214</v>
      </c>
      <c r="F24" t="s">
        <v>263</v>
      </c>
      <c r="G24" t="s">
        <v>264</v>
      </c>
      <c r="H24" t="s">
        <v>205</v>
      </c>
      <c r="I24" s="5">
        <v>45405</v>
      </c>
      <c r="N24" s="6" t="s">
        <v>350</v>
      </c>
      <c r="O24" s="6" t="s">
        <v>351</v>
      </c>
      <c r="R24" s="10"/>
      <c r="S24" t="s">
        <v>196</v>
      </c>
      <c r="T24" s="24" t="s">
        <v>267</v>
      </c>
      <c r="U24" s="151">
        <v>0.78</v>
      </c>
      <c r="V24" s="140">
        <v>1102</v>
      </c>
      <c r="W24" s="140">
        <v>3750</v>
      </c>
      <c r="X24" s="140">
        <v>205</v>
      </c>
      <c r="Y24" s="140">
        <f t="shared" si="0"/>
        <v>3.4166666666666665</v>
      </c>
      <c r="Z24" s="152">
        <v>3</v>
      </c>
      <c r="AB24" s="24"/>
      <c r="AC24" s="24"/>
      <c r="AD24" s="152"/>
      <c r="AE24" s="24"/>
      <c r="AG24" s="96"/>
      <c r="AH24" s="153" t="s">
        <v>352</v>
      </c>
    </row>
    <row r="25" spans="1:53" x14ac:dyDescent="0.25">
      <c r="A25" t="s">
        <v>353</v>
      </c>
      <c r="B25" t="s">
        <v>36</v>
      </c>
      <c r="C25" t="s">
        <v>262</v>
      </c>
      <c r="D25" t="s">
        <v>201</v>
      </c>
      <c r="E25" t="s">
        <v>214</v>
      </c>
      <c r="F25" t="s">
        <v>263</v>
      </c>
      <c r="G25" t="s">
        <v>264</v>
      </c>
      <c r="H25" t="s">
        <v>205</v>
      </c>
      <c r="I25" s="5">
        <v>45402</v>
      </c>
      <c r="K25" s="6" t="s">
        <v>354</v>
      </c>
      <c r="L25" s="6" t="s">
        <v>310</v>
      </c>
      <c r="M25" s="6" t="s">
        <v>355</v>
      </c>
      <c r="N25" s="13"/>
      <c r="O25" s="13"/>
      <c r="R25" s="10">
        <v>589036</v>
      </c>
      <c r="S25" t="s">
        <v>196</v>
      </c>
      <c r="T25" s="24" t="s">
        <v>207</v>
      </c>
      <c r="U25" s="151">
        <v>0.33</v>
      </c>
      <c r="V25" s="140">
        <v>632</v>
      </c>
      <c r="W25" s="140">
        <v>3750</v>
      </c>
      <c r="X25" s="140">
        <v>355</v>
      </c>
      <c r="Y25" s="140">
        <f t="shared" si="0"/>
        <v>5.916666666666667</v>
      </c>
      <c r="Z25" s="152">
        <v>3</v>
      </c>
      <c r="AB25" s="24"/>
      <c r="AC25" s="24"/>
      <c r="AD25" s="152"/>
      <c r="AE25" s="24"/>
      <c r="AG25" s="96"/>
      <c r="AH25" s="153" t="s">
        <v>356</v>
      </c>
      <c r="AO25" t="s">
        <v>39</v>
      </c>
      <c r="AT25" t="s">
        <v>39</v>
      </c>
      <c r="AX25" t="s">
        <v>39</v>
      </c>
      <c r="BA25" t="s">
        <v>39</v>
      </c>
    </row>
    <row r="26" spans="1:53" x14ac:dyDescent="0.25">
      <c r="A26" t="s">
        <v>357</v>
      </c>
      <c r="B26" t="s">
        <v>36</v>
      </c>
      <c r="C26" t="s">
        <v>358</v>
      </c>
      <c r="D26" t="s">
        <v>359</v>
      </c>
      <c r="E26" t="s">
        <v>360</v>
      </c>
      <c r="F26" t="s">
        <v>205</v>
      </c>
      <c r="G26" t="s">
        <v>344</v>
      </c>
      <c r="H26" t="s">
        <v>308</v>
      </c>
      <c r="I26" s="5">
        <v>45405</v>
      </c>
      <c r="K26" s="6" t="s">
        <v>361</v>
      </c>
      <c r="L26" s="6" t="s">
        <v>362</v>
      </c>
      <c r="M26" s="6" t="s">
        <v>363</v>
      </c>
      <c r="N26" s="6" t="s">
        <v>364</v>
      </c>
      <c r="O26" s="6" t="s">
        <v>365</v>
      </c>
      <c r="R26" s="10">
        <v>589036</v>
      </c>
      <c r="S26" t="s">
        <v>196</v>
      </c>
      <c r="T26" s="24" t="s">
        <v>267</v>
      </c>
      <c r="U26" s="151">
        <v>0.77</v>
      </c>
      <c r="V26" s="140">
        <v>1095</v>
      </c>
      <c r="W26" s="140">
        <v>6750</v>
      </c>
      <c r="X26" s="140">
        <v>369</v>
      </c>
      <c r="Y26" s="140">
        <f t="shared" si="0"/>
        <v>6.15</v>
      </c>
      <c r="Z26" s="152">
        <v>3</v>
      </c>
      <c r="AA26" t="s">
        <v>220</v>
      </c>
      <c r="AB26" s="24"/>
      <c r="AC26" s="24"/>
      <c r="AD26" s="152"/>
      <c r="AE26" s="24" t="s">
        <v>220</v>
      </c>
      <c r="AG26" s="96"/>
      <c r="AH26" s="153" t="s">
        <v>366</v>
      </c>
      <c r="AO26" t="s">
        <v>39</v>
      </c>
      <c r="AT26" t="s">
        <v>39</v>
      </c>
      <c r="AX26" t="s">
        <v>39</v>
      </c>
      <c r="BA26" t="s">
        <v>39</v>
      </c>
    </row>
    <row r="27" spans="1:53" x14ac:dyDescent="0.25">
      <c r="A27" t="s">
        <v>136</v>
      </c>
      <c r="B27" t="s">
        <v>135</v>
      </c>
      <c r="C27" t="s">
        <v>213</v>
      </c>
      <c r="D27" t="s">
        <v>201</v>
      </c>
      <c r="E27" t="s">
        <v>214</v>
      </c>
      <c r="F27" t="s">
        <v>203</v>
      </c>
      <c r="G27" t="s">
        <v>215</v>
      </c>
      <c r="H27" t="s">
        <v>205</v>
      </c>
      <c r="Q27" t="s">
        <v>216</v>
      </c>
      <c r="R27" s="10">
        <v>714158.52399999998</v>
      </c>
      <c r="S27" t="s">
        <v>186</v>
      </c>
      <c r="T27" s="24" t="s">
        <v>304</v>
      </c>
      <c r="U27" s="151">
        <v>0.35</v>
      </c>
      <c r="V27" s="151"/>
      <c r="Y27" s="140">
        <f t="shared" si="0"/>
        <v>0</v>
      </c>
      <c r="Z27" s="152" t="s">
        <v>39</v>
      </c>
      <c r="AA27" s="11" t="s">
        <v>209</v>
      </c>
      <c r="AB27" s="151" t="s">
        <v>207</v>
      </c>
      <c r="AC27" s="151">
        <v>0.18</v>
      </c>
      <c r="AD27" s="152" t="s">
        <v>39</v>
      </c>
      <c r="AE27" s="151" t="s">
        <v>220</v>
      </c>
      <c r="AG27" s="96"/>
      <c r="AH27" s="153"/>
      <c r="AN27" t="s">
        <v>39</v>
      </c>
      <c r="AO27" t="s">
        <v>39</v>
      </c>
      <c r="AT27" t="s">
        <v>39</v>
      </c>
      <c r="BA27" t="s">
        <v>39</v>
      </c>
    </row>
    <row r="28" spans="1:53" x14ac:dyDescent="0.25">
      <c r="B28" t="s">
        <v>59</v>
      </c>
      <c r="C28" t="s">
        <v>367</v>
      </c>
      <c r="D28" t="s">
        <v>368</v>
      </c>
      <c r="E28" t="s">
        <v>369</v>
      </c>
      <c r="F28" t="s">
        <v>203</v>
      </c>
      <c r="G28" t="s">
        <v>225</v>
      </c>
      <c r="H28" t="s">
        <v>215</v>
      </c>
      <c r="K28" s="6" t="s">
        <v>370</v>
      </c>
      <c r="L28" s="6" t="s">
        <v>289</v>
      </c>
      <c r="M28" s="6" t="s">
        <v>371</v>
      </c>
      <c r="R28" s="10">
        <v>648286.60400000005</v>
      </c>
      <c r="U28" s="24"/>
      <c r="V28" s="24"/>
      <c r="W28" s="24"/>
      <c r="X28" s="24"/>
      <c r="Y28" s="140">
        <f t="shared" si="0"/>
        <v>0</v>
      </c>
      <c r="Z28" s="152"/>
      <c r="AB28" s="24"/>
      <c r="AC28" s="24"/>
      <c r="AD28" s="152"/>
      <c r="AE28" s="24"/>
      <c r="AF28" s="24"/>
      <c r="AG28" s="96"/>
      <c r="AH28" s="153"/>
      <c r="AI28" t="s">
        <v>39</v>
      </c>
      <c r="AL28" t="s">
        <v>39</v>
      </c>
      <c r="AV28" t="s">
        <v>39</v>
      </c>
      <c r="AY28" t="s">
        <v>39</v>
      </c>
    </row>
    <row r="29" spans="1:53" x14ac:dyDescent="0.25">
      <c r="B29" t="s">
        <v>101</v>
      </c>
      <c r="C29" t="s">
        <v>372</v>
      </c>
      <c r="D29" t="s">
        <v>373</v>
      </c>
      <c r="E29" t="s">
        <v>374</v>
      </c>
      <c r="F29" t="s">
        <v>203</v>
      </c>
      <c r="G29" t="s">
        <v>287</v>
      </c>
      <c r="H29" t="s">
        <v>227</v>
      </c>
      <c r="K29" s="6" t="s">
        <v>375</v>
      </c>
      <c r="L29" s="6" t="s">
        <v>376</v>
      </c>
      <c r="M29" s="6" t="s">
        <v>355</v>
      </c>
      <c r="Q29" t="s">
        <v>377</v>
      </c>
      <c r="R29" s="10">
        <v>657302.36399999994</v>
      </c>
      <c r="U29" s="24"/>
      <c r="V29" s="24"/>
      <c r="W29" s="24"/>
      <c r="X29" s="24"/>
      <c r="Y29" s="140">
        <f t="shared" si="0"/>
        <v>0</v>
      </c>
      <c r="Z29" s="152"/>
      <c r="AB29" s="24"/>
      <c r="AC29" s="24"/>
      <c r="AD29" s="152"/>
      <c r="AE29" s="24"/>
      <c r="AF29" s="24"/>
      <c r="AG29" s="96"/>
      <c r="AH29" s="153" t="s">
        <v>378</v>
      </c>
      <c r="AL29" t="s">
        <v>39</v>
      </c>
      <c r="AO29" t="s">
        <v>39</v>
      </c>
      <c r="AV29" t="s">
        <v>39</v>
      </c>
      <c r="AW29" t="s">
        <v>39</v>
      </c>
    </row>
    <row r="30" spans="1:53" x14ac:dyDescent="0.25">
      <c r="B30" t="s">
        <v>101</v>
      </c>
      <c r="C30" t="s">
        <v>379</v>
      </c>
      <c r="D30" t="s">
        <v>380</v>
      </c>
      <c r="F30" t="s">
        <v>381</v>
      </c>
      <c r="Q30" t="s">
        <v>382</v>
      </c>
      <c r="R30" s="10">
        <v>657302.36399999994</v>
      </c>
      <c r="U30" s="24"/>
      <c r="V30" s="24"/>
      <c r="W30" s="24"/>
      <c r="X30" s="24"/>
      <c r="Y30" s="140">
        <f t="shared" si="0"/>
        <v>0</v>
      </c>
      <c r="Z30" s="152"/>
      <c r="AB30" s="24"/>
      <c r="AC30" s="24"/>
      <c r="AD30" s="152"/>
      <c r="AE30" s="24"/>
      <c r="AF30" s="24"/>
      <c r="AG30" s="96"/>
      <c r="AH30" s="153"/>
      <c r="AO30" t="s">
        <v>39</v>
      </c>
      <c r="AP30" t="s">
        <v>39</v>
      </c>
      <c r="AQ30" t="s">
        <v>39</v>
      </c>
      <c r="AX30" t="s">
        <v>39</v>
      </c>
    </row>
    <row r="31" spans="1:53" x14ac:dyDescent="0.25">
      <c r="B31" t="s">
        <v>383</v>
      </c>
      <c r="I31"/>
      <c r="K31"/>
      <c r="L31"/>
      <c r="M31"/>
      <c r="N31"/>
      <c r="O31"/>
      <c r="Q31" t="s">
        <v>384</v>
      </c>
      <c r="R31" s="10">
        <v>665266.50399999996</v>
      </c>
      <c r="U31" s="24"/>
      <c r="V31" s="24"/>
      <c r="W31" s="24"/>
      <c r="X31" s="24"/>
      <c r="Y31" s="140">
        <f t="shared" si="0"/>
        <v>0</v>
      </c>
      <c r="Z31" s="152"/>
      <c r="AB31" s="24"/>
      <c r="AC31" s="24"/>
      <c r="AD31" s="152"/>
      <c r="AE31" s="24"/>
      <c r="AF31" s="24"/>
      <c r="AG31" s="96"/>
      <c r="AH31" s="153"/>
    </row>
    <row r="32" spans="1:53" x14ac:dyDescent="0.25">
      <c r="C32" t="s">
        <v>385</v>
      </c>
      <c r="I32"/>
      <c r="K32"/>
      <c r="L32"/>
      <c r="M32"/>
      <c r="N32"/>
      <c r="O32"/>
      <c r="Q32" t="s">
        <v>386</v>
      </c>
      <c r="R32" s="10">
        <v>713360.04799999995</v>
      </c>
      <c r="U32" s="24"/>
      <c r="V32" s="24"/>
      <c r="W32" s="24"/>
      <c r="X32" s="24"/>
      <c r="Y32" s="140">
        <f t="shared" si="0"/>
        <v>0</v>
      </c>
      <c r="Z32" s="152"/>
      <c r="AB32" s="24"/>
      <c r="AC32" s="24"/>
      <c r="AD32" s="152"/>
      <c r="AE32" s="24"/>
      <c r="AF32" s="24"/>
      <c r="AG32" s="96"/>
      <c r="AH32" s="153"/>
    </row>
    <row r="33" spans="3:34" x14ac:dyDescent="0.25">
      <c r="C33" t="s">
        <v>387</v>
      </c>
      <c r="I33"/>
      <c r="K33"/>
      <c r="L33"/>
      <c r="M33"/>
      <c r="N33"/>
      <c r="O33"/>
      <c r="P33" t="s">
        <v>388</v>
      </c>
      <c r="Q33" t="s">
        <v>389</v>
      </c>
      <c r="R33" s="10"/>
      <c r="U33" s="24"/>
      <c r="V33" s="24"/>
      <c r="W33" s="24"/>
      <c r="X33" s="24"/>
      <c r="Y33" s="140">
        <f t="shared" si="0"/>
        <v>0</v>
      </c>
      <c r="Z33" s="152"/>
      <c r="AB33" s="24"/>
      <c r="AC33" s="24"/>
      <c r="AD33" s="152"/>
      <c r="AE33" s="24"/>
      <c r="AF33" s="24"/>
      <c r="AG33" s="96"/>
      <c r="AH33" s="153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65F88-4DDA-4C1D-A2E9-A628BEFEB0FA}">
  <sheetPr codeName="Sheet3"/>
  <dimension ref="A1:AV14"/>
  <sheetViews>
    <sheetView workbookViewId="0"/>
  </sheetViews>
  <sheetFormatPr defaultRowHeight="15" x14ac:dyDescent="0.25"/>
  <cols>
    <col min="1" max="1" width="26.5703125" bestFit="1" customWidth="1"/>
    <col min="2" max="2" width="6.85546875" customWidth="1"/>
    <col min="3" max="3" width="3.7109375" hidden="1" customWidth="1"/>
    <col min="4" max="4" width="8.85546875" bestFit="1" customWidth="1"/>
    <col min="5" max="5" width="3.7109375" bestFit="1" customWidth="1"/>
    <col min="6" max="6" width="16.5703125" style="23" customWidth="1"/>
    <col min="7" max="9" width="3.7109375" bestFit="1" customWidth="1"/>
    <col min="10" max="10" width="3.7109375" customWidth="1"/>
    <col min="11" max="16" width="6.42578125" bestFit="1" customWidth="1"/>
    <col min="17" max="17" width="7.5703125" bestFit="1" customWidth="1"/>
    <col min="18" max="18" width="6.42578125" bestFit="1" customWidth="1"/>
    <col min="19" max="19" width="4.7109375" customWidth="1"/>
    <col min="20" max="20" width="3.28515625" customWidth="1"/>
    <col min="21" max="21" width="16.28515625" style="5" bestFit="1" customWidth="1"/>
    <col min="22" max="22" width="3.7109375" style="12" bestFit="1" customWidth="1"/>
    <col min="23" max="23" width="3.7109375" bestFit="1" customWidth="1"/>
    <col min="24" max="24" width="8.140625" bestFit="1" customWidth="1"/>
    <col min="25" max="25" width="3.7109375" bestFit="1" customWidth="1"/>
    <col min="26" max="26" width="8.5703125" bestFit="1" customWidth="1"/>
    <col min="27" max="27" width="4.7109375" style="24" customWidth="1"/>
    <col min="28" max="28" width="4" style="24" customWidth="1"/>
    <col min="29" max="30" width="4.28515625" style="24" customWidth="1"/>
    <col min="31" max="32" width="3.7109375" bestFit="1" customWidth="1"/>
    <col min="33" max="33" width="4.140625" bestFit="1" customWidth="1"/>
    <col min="34" max="34" width="3.7109375" bestFit="1" customWidth="1"/>
    <col min="35" max="35" width="4.140625" bestFit="1" customWidth="1"/>
    <col min="36" max="36" width="4.140625" customWidth="1"/>
    <col min="37" max="37" width="3.7109375" bestFit="1" customWidth="1"/>
    <col min="38" max="38" width="4.140625" bestFit="1" customWidth="1"/>
    <col min="39" max="39" width="4.140625" customWidth="1"/>
    <col min="40" max="41" width="3.7109375" bestFit="1" customWidth="1"/>
    <col min="42" max="42" width="4.140625" bestFit="1" customWidth="1"/>
    <col min="43" max="44" width="4.140625" customWidth="1"/>
    <col min="45" max="45" width="3.7109375" bestFit="1" customWidth="1"/>
    <col min="46" max="48" width="4.140625" bestFit="1" customWidth="1"/>
  </cols>
  <sheetData>
    <row r="1" spans="1:48" s="17" customFormat="1" ht="162" customHeight="1" x14ac:dyDescent="0.25">
      <c r="A1" s="14" t="s">
        <v>0</v>
      </c>
      <c r="B1" s="15" t="s">
        <v>390</v>
      </c>
      <c r="C1" s="15" t="s">
        <v>391</v>
      </c>
      <c r="D1" s="15" t="s">
        <v>392</v>
      </c>
      <c r="E1" s="15" t="s">
        <v>393</v>
      </c>
      <c r="F1" s="16" t="s">
        <v>394</v>
      </c>
      <c r="G1" s="17" t="s">
        <v>395</v>
      </c>
      <c r="H1" s="17" t="s">
        <v>396</v>
      </c>
      <c r="I1" s="17" t="s">
        <v>397</v>
      </c>
      <c r="J1" s="17" t="s">
        <v>398</v>
      </c>
      <c r="K1" s="17" t="s">
        <v>399</v>
      </c>
      <c r="L1" s="17" t="s">
        <v>400</v>
      </c>
      <c r="M1" s="17" t="s">
        <v>401</v>
      </c>
      <c r="N1" s="17" t="s">
        <v>402</v>
      </c>
      <c r="O1" s="17" t="s">
        <v>403</v>
      </c>
      <c r="P1" s="17" t="s">
        <v>404</v>
      </c>
      <c r="Q1" s="17" t="s">
        <v>405</v>
      </c>
      <c r="R1" s="17" t="s">
        <v>406</v>
      </c>
      <c r="S1" s="17" t="s">
        <v>407</v>
      </c>
      <c r="T1" s="17" t="s">
        <v>408</v>
      </c>
      <c r="U1" s="18" t="s">
        <v>409</v>
      </c>
      <c r="V1" s="19" t="s">
        <v>410</v>
      </c>
      <c r="W1" s="20" t="s">
        <v>411</v>
      </c>
      <c r="X1" s="21" t="s">
        <v>412</v>
      </c>
      <c r="Y1" s="20" t="s">
        <v>413</v>
      </c>
      <c r="Z1" s="21" t="s">
        <v>414</v>
      </c>
      <c r="AA1" s="21" t="s">
        <v>415</v>
      </c>
      <c r="AB1" s="21" t="s">
        <v>416</v>
      </c>
      <c r="AC1" s="21" t="s">
        <v>417</v>
      </c>
      <c r="AD1" s="21" t="s">
        <v>418</v>
      </c>
      <c r="AE1" s="20" t="s">
        <v>419</v>
      </c>
      <c r="AF1" s="20" t="s">
        <v>420</v>
      </c>
      <c r="AG1" s="20" t="s">
        <v>421</v>
      </c>
      <c r="AH1" s="20" t="s">
        <v>422</v>
      </c>
      <c r="AI1" s="20" t="s">
        <v>423</v>
      </c>
      <c r="AJ1" s="20" t="s">
        <v>424</v>
      </c>
      <c r="AK1" s="20" t="s">
        <v>425</v>
      </c>
      <c r="AL1" s="20" t="s">
        <v>426</v>
      </c>
      <c r="AM1" s="20" t="s">
        <v>427</v>
      </c>
      <c r="AN1" s="20" t="s">
        <v>428</v>
      </c>
      <c r="AO1" s="20" t="s">
        <v>429</v>
      </c>
      <c r="AP1" s="20" t="s">
        <v>430</v>
      </c>
      <c r="AQ1" s="20" t="s">
        <v>431</v>
      </c>
      <c r="AR1" s="20" t="s">
        <v>432</v>
      </c>
      <c r="AS1" s="20" t="s">
        <v>433</v>
      </c>
      <c r="AT1" s="20" t="s">
        <v>434</v>
      </c>
      <c r="AU1" s="20" t="s">
        <v>435</v>
      </c>
      <c r="AV1" s="20" t="s">
        <v>436</v>
      </c>
    </row>
    <row r="2" spans="1:48" x14ac:dyDescent="0.25">
      <c r="A2" t="s">
        <v>437</v>
      </c>
      <c r="B2" s="22" t="s">
        <v>438</v>
      </c>
      <c r="C2" s="22">
        <v>6</v>
      </c>
      <c r="D2" s="22" t="s">
        <v>439</v>
      </c>
      <c r="E2" s="22" t="s">
        <v>232</v>
      </c>
      <c r="F2" s="23">
        <v>172500000</v>
      </c>
      <c r="G2">
        <v>30</v>
      </c>
      <c r="H2">
        <v>30</v>
      </c>
      <c r="I2">
        <v>30</v>
      </c>
      <c r="K2">
        <v>456.3</v>
      </c>
      <c r="L2">
        <v>292.89999999999998</v>
      </c>
      <c r="M2">
        <v>297.10000000000002</v>
      </c>
      <c r="N2">
        <v>250.4</v>
      </c>
      <c r="O2">
        <v>803.6</v>
      </c>
      <c r="P2">
        <v>469.9</v>
      </c>
      <c r="Q2">
        <v>1746.1</v>
      </c>
      <c r="R2">
        <v>394.6</v>
      </c>
      <c r="U2" s="5">
        <v>45400</v>
      </c>
      <c r="V2" s="12">
        <v>4</v>
      </c>
      <c r="W2">
        <v>6</v>
      </c>
      <c r="X2" t="s">
        <v>440</v>
      </c>
      <c r="Y2">
        <v>3</v>
      </c>
      <c r="Z2" t="s">
        <v>441</v>
      </c>
      <c r="AE2">
        <v>1</v>
      </c>
      <c r="AF2" t="s">
        <v>267</v>
      </c>
      <c r="AG2" t="s">
        <v>39</v>
      </c>
      <c r="AH2">
        <v>2</v>
      </c>
      <c r="AI2" t="s">
        <v>442</v>
      </c>
      <c r="AJ2" t="s">
        <v>39</v>
      </c>
      <c r="AK2">
        <v>2</v>
      </c>
      <c r="AL2" t="s">
        <v>443</v>
      </c>
      <c r="AM2" t="s">
        <v>208</v>
      </c>
      <c r="AN2">
        <v>1</v>
      </c>
      <c r="AO2" t="s">
        <v>304</v>
      </c>
      <c r="AP2" t="s">
        <v>39</v>
      </c>
      <c r="AR2" t="s">
        <v>208</v>
      </c>
      <c r="AS2" t="s">
        <v>232</v>
      </c>
      <c r="AT2" t="s">
        <v>39</v>
      </c>
      <c r="AU2" t="s">
        <v>39</v>
      </c>
      <c r="AV2" t="s">
        <v>39</v>
      </c>
    </row>
    <row r="3" spans="1:48" x14ac:dyDescent="0.25">
      <c r="A3" t="s">
        <v>444</v>
      </c>
      <c r="B3" s="22" t="s">
        <v>438</v>
      </c>
      <c r="C3" s="22">
        <v>7</v>
      </c>
      <c r="D3" s="22" t="s">
        <v>445</v>
      </c>
      <c r="E3" s="22" t="s">
        <v>304</v>
      </c>
      <c r="F3" s="23">
        <v>93500000</v>
      </c>
      <c r="G3">
        <v>22</v>
      </c>
      <c r="H3">
        <v>21</v>
      </c>
      <c r="I3">
        <v>50</v>
      </c>
      <c r="K3">
        <v>276.89999999999998</v>
      </c>
      <c r="L3">
        <v>135.69999999999999</v>
      </c>
      <c r="M3">
        <v>227.2</v>
      </c>
      <c r="N3">
        <v>182.6</v>
      </c>
      <c r="O3">
        <v>292.3</v>
      </c>
      <c r="P3">
        <v>101</v>
      </c>
      <c r="Q3">
        <v>401.7</v>
      </c>
      <c r="R3">
        <v>367.4</v>
      </c>
      <c r="U3" s="5">
        <v>45400</v>
      </c>
      <c r="V3" s="12">
        <v>2</v>
      </c>
      <c r="W3">
        <v>2</v>
      </c>
      <c r="X3" t="s">
        <v>446</v>
      </c>
      <c r="Y3">
        <v>1</v>
      </c>
      <c r="Z3" t="s">
        <v>267</v>
      </c>
      <c r="AA3" s="24" t="s">
        <v>304</v>
      </c>
      <c r="AE3">
        <v>1</v>
      </c>
      <c r="AF3" t="s">
        <v>232</v>
      </c>
      <c r="AG3" s="25" t="s">
        <v>208</v>
      </c>
      <c r="AH3" s="25">
        <v>1</v>
      </c>
      <c r="AI3" s="25" t="s">
        <v>267</v>
      </c>
      <c r="AJ3" t="s">
        <v>39</v>
      </c>
      <c r="AK3">
        <v>2</v>
      </c>
      <c r="AL3" t="s">
        <v>447</v>
      </c>
      <c r="AM3" t="s">
        <v>39</v>
      </c>
      <c r="AN3">
        <v>1</v>
      </c>
      <c r="AO3" t="s">
        <v>304</v>
      </c>
      <c r="AP3" t="s">
        <v>39</v>
      </c>
      <c r="AQ3" t="s">
        <v>304</v>
      </c>
      <c r="AR3" t="s">
        <v>39</v>
      </c>
      <c r="AS3" t="s">
        <v>232</v>
      </c>
      <c r="AT3" t="s">
        <v>39</v>
      </c>
      <c r="AU3" t="s">
        <v>208</v>
      </c>
      <c r="AV3" t="s">
        <v>39</v>
      </c>
    </row>
    <row r="4" spans="1:48" x14ac:dyDescent="0.25">
      <c r="A4" t="s">
        <v>448</v>
      </c>
      <c r="B4" s="22" t="s">
        <v>438</v>
      </c>
      <c r="C4" s="22">
        <v>8</v>
      </c>
      <c r="D4" s="22" t="s">
        <v>449</v>
      </c>
      <c r="E4" s="22" t="s">
        <v>267</v>
      </c>
      <c r="F4" s="23">
        <v>52000000</v>
      </c>
      <c r="G4">
        <v>24</v>
      </c>
      <c r="H4">
        <v>7</v>
      </c>
      <c r="I4">
        <v>40</v>
      </c>
      <c r="K4">
        <v>122.5</v>
      </c>
      <c r="L4">
        <v>87.6</v>
      </c>
      <c r="M4">
        <v>303.7</v>
      </c>
      <c r="N4">
        <v>246.2</v>
      </c>
      <c r="O4">
        <v>133.5</v>
      </c>
      <c r="Q4">
        <v>296.89999999999998</v>
      </c>
      <c r="R4">
        <v>205.7</v>
      </c>
      <c r="U4" s="5">
        <v>45400</v>
      </c>
      <c r="V4" s="12">
        <v>3</v>
      </c>
      <c r="AE4">
        <v>2</v>
      </c>
      <c r="AF4" t="s">
        <v>447</v>
      </c>
      <c r="AG4" t="s">
        <v>208</v>
      </c>
      <c r="AJ4" t="s">
        <v>39</v>
      </c>
      <c r="AM4" t="s">
        <v>208</v>
      </c>
      <c r="AP4" t="s">
        <v>208</v>
      </c>
      <c r="AR4" t="s">
        <v>208</v>
      </c>
      <c r="AT4" t="s">
        <v>208</v>
      </c>
      <c r="AU4" t="s">
        <v>208</v>
      </c>
      <c r="AV4" t="s">
        <v>208</v>
      </c>
    </row>
    <row r="5" spans="1:48" x14ac:dyDescent="0.25">
      <c r="A5" t="s">
        <v>450</v>
      </c>
      <c r="B5" s="22" t="s">
        <v>438</v>
      </c>
      <c r="C5" s="22">
        <v>4</v>
      </c>
      <c r="D5" s="22" t="s">
        <v>451</v>
      </c>
      <c r="E5" s="22" t="s">
        <v>207</v>
      </c>
      <c r="F5" s="23">
        <v>49000000</v>
      </c>
      <c r="G5">
        <v>26</v>
      </c>
      <c r="H5">
        <v>26</v>
      </c>
      <c r="I5">
        <v>40</v>
      </c>
      <c r="K5">
        <v>126.8</v>
      </c>
      <c r="L5">
        <v>84.4</v>
      </c>
      <c r="M5">
        <v>216.7</v>
      </c>
      <c r="N5">
        <v>174.2</v>
      </c>
      <c r="O5">
        <v>911.6</v>
      </c>
      <c r="P5">
        <v>101</v>
      </c>
      <c r="Q5">
        <v>645.70000000000005</v>
      </c>
      <c r="R5">
        <v>210.2</v>
      </c>
      <c r="U5" s="5">
        <v>45400</v>
      </c>
      <c r="V5" s="12">
        <v>1</v>
      </c>
      <c r="W5">
        <v>2</v>
      </c>
      <c r="X5" t="s">
        <v>452</v>
      </c>
      <c r="Y5">
        <v>3</v>
      </c>
      <c r="Z5" t="s">
        <v>453</v>
      </c>
      <c r="AA5" s="24" t="s">
        <v>304</v>
      </c>
      <c r="AB5" s="24" t="s">
        <v>267</v>
      </c>
      <c r="AC5" s="24" t="s">
        <v>232</v>
      </c>
      <c r="AD5" s="24" t="s">
        <v>267</v>
      </c>
      <c r="AE5" t="s">
        <v>232</v>
      </c>
      <c r="AG5" t="s">
        <v>208</v>
      </c>
      <c r="AJ5" t="s">
        <v>454</v>
      </c>
      <c r="AM5" t="s">
        <v>39</v>
      </c>
      <c r="AP5" t="s">
        <v>39</v>
      </c>
      <c r="AQ5" t="s">
        <v>304</v>
      </c>
      <c r="AR5" t="s">
        <v>39</v>
      </c>
      <c r="AS5" t="s">
        <v>232</v>
      </c>
      <c r="AT5" t="s">
        <v>39</v>
      </c>
      <c r="AU5" t="s">
        <v>208</v>
      </c>
      <c r="AV5" t="s">
        <v>39</v>
      </c>
    </row>
    <row r="6" spans="1:48" x14ac:dyDescent="0.25">
      <c r="A6" t="s">
        <v>455</v>
      </c>
      <c r="B6" s="22" t="s">
        <v>438</v>
      </c>
      <c r="C6" s="22">
        <v>5</v>
      </c>
      <c r="D6" s="22" t="s">
        <v>445</v>
      </c>
      <c r="E6" s="22" t="s">
        <v>232</v>
      </c>
      <c r="F6" s="23">
        <v>27650000</v>
      </c>
      <c r="G6">
        <v>24</v>
      </c>
      <c r="H6">
        <v>20</v>
      </c>
      <c r="I6">
        <v>32</v>
      </c>
      <c r="K6">
        <v>500.4</v>
      </c>
      <c r="L6">
        <v>355.3</v>
      </c>
      <c r="M6">
        <v>289.39999999999998</v>
      </c>
      <c r="N6">
        <v>209.2</v>
      </c>
      <c r="O6">
        <v>181.7</v>
      </c>
      <c r="Q6">
        <v>759.9</v>
      </c>
      <c r="R6">
        <v>394.6</v>
      </c>
      <c r="U6" s="5">
        <v>45400</v>
      </c>
      <c r="V6" s="12">
        <v>3</v>
      </c>
      <c r="W6">
        <v>2</v>
      </c>
      <c r="X6" t="s">
        <v>456</v>
      </c>
      <c r="Y6">
        <v>1</v>
      </c>
      <c r="Z6" t="s">
        <v>207</v>
      </c>
      <c r="AD6" s="24" t="s">
        <v>267</v>
      </c>
      <c r="AE6">
        <v>3</v>
      </c>
      <c r="AF6" t="s">
        <v>457</v>
      </c>
      <c r="AG6" t="s">
        <v>39</v>
      </c>
      <c r="AH6">
        <v>1</v>
      </c>
      <c r="AI6" t="s">
        <v>304</v>
      </c>
      <c r="AJ6" t="s">
        <v>39</v>
      </c>
      <c r="AK6">
        <v>2</v>
      </c>
      <c r="AL6" t="s">
        <v>458</v>
      </c>
      <c r="AM6" t="s">
        <v>208</v>
      </c>
      <c r="AP6" t="s">
        <v>39</v>
      </c>
      <c r="AR6" t="s">
        <v>208</v>
      </c>
      <c r="AS6" t="s">
        <v>459</v>
      </c>
      <c r="AT6" t="s">
        <v>208</v>
      </c>
      <c r="AU6" t="s">
        <v>208</v>
      </c>
      <c r="AV6" t="s">
        <v>39</v>
      </c>
    </row>
    <row r="7" spans="1:48" x14ac:dyDescent="0.25">
      <c r="A7" t="s">
        <v>460</v>
      </c>
      <c r="B7" s="22" t="s">
        <v>438</v>
      </c>
      <c r="C7" s="22"/>
      <c r="D7" s="22" t="s">
        <v>439</v>
      </c>
      <c r="E7" s="22" t="s">
        <v>232</v>
      </c>
      <c r="F7" s="23">
        <v>26650000</v>
      </c>
      <c r="G7">
        <v>23</v>
      </c>
      <c r="H7">
        <v>6</v>
      </c>
      <c r="I7">
        <v>26</v>
      </c>
      <c r="K7">
        <v>318.2</v>
      </c>
      <c r="M7">
        <v>260.39999999999998</v>
      </c>
      <c r="O7">
        <v>237.5</v>
      </c>
      <c r="Q7">
        <v>633.29999999999995</v>
      </c>
      <c r="U7" s="5">
        <v>45400</v>
      </c>
      <c r="V7" s="12">
        <v>3</v>
      </c>
      <c r="AG7" t="s">
        <v>208</v>
      </c>
      <c r="AJ7" t="s">
        <v>39</v>
      </c>
      <c r="AM7" t="s">
        <v>208</v>
      </c>
      <c r="AP7" t="s">
        <v>208</v>
      </c>
      <c r="AR7" t="s">
        <v>208</v>
      </c>
      <c r="AS7" t="s">
        <v>304</v>
      </c>
      <c r="AT7" t="s">
        <v>208</v>
      </c>
      <c r="AU7" t="s">
        <v>208</v>
      </c>
      <c r="AV7" t="s">
        <v>208</v>
      </c>
    </row>
    <row r="8" spans="1:48" x14ac:dyDescent="0.25">
      <c r="A8" t="s">
        <v>461</v>
      </c>
      <c r="B8" s="22" t="s">
        <v>438</v>
      </c>
      <c r="C8" s="22">
        <v>9</v>
      </c>
      <c r="D8" s="22" t="s">
        <v>439</v>
      </c>
      <c r="E8" s="22" t="s">
        <v>232</v>
      </c>
      <c r="F8" s="23">
        <v>20900000</v>
      </c>
      <c r="G8">
        <v>21</v>
      </c>
      <c r="H8">
        <v>18</v>
      </c>
      <c r="I8">
        <v>24</v>
      </c>
      <c r="K8">
        <v>434.8</v>
      </c>
      <c r="L8">
        <v>271.8</v>
      </c>
      <c r="M8">
        <v>344.2</v>
      </c>
      <c r="N8">
        <v>260.10000000000002</v>
      </c>
      <c r="O8">
        <v>812.8</v>
      </c>
      <c r="P8">
        <v>471.1</v>
      </c>
      <c r="Q8">
        <v>891.4</v>
      </c>
      <c r="R8">
        <v>412.9</v>
      </c>
      <c r="U8" s="5">
        <v>45400</v>
      </c>
      <c r="V8" s="12">
        <v>4</v>
      </c>
      <c r="W8">
        <v>3</v>
      </c>
      <c r="X8" t="s">
        <v>462</v>
      </c>
      <c r="Y8">
        <v>2</v>
      </c>
      <c r="Z8" t="s">
        <v>463</v>
      </c>
      <c r="AE8">
        <v>3</v>
      </c>
      <c r="AF8" t="s">
        <v>464</v>
      </c>
      <c r="AG8" t="s">
        <v>39</v>
      </c>
      <c r="AH8">
        <v>1</v>
      </c>
      <c r="AI8" t="s">
        <v>232</v>
      </c>
      <c r="AJ8" t="s">
        <v>39</v>
      </c>
      <c r="AK8">
        <v>2</v>
      </c>
      <c r="AL8" t="s">
        <v>465</v>
      </c>
      <c r="AM8" t="s">
        <v>39</v>
      </c>
      <c r="AN8">
        <v>1</v>
      </c>
      <c r="AO8" t="s">
        <v>232</v>
      </c>
      <c r="AP8" t="s">
        <v>39</v>
      </c>
      <c r="AR8" t="s">
        <v>208</v>
      </c>
      <c r="AT8" t="s">
        <v>208</v>
      </c>
      <c r="AU8" t="s">
        <v>208</v>
      </c>
      <c r="AV8" t="s">
        <v>39</v>
      </c>
    </row>
    <row r="9" spans="1:48" hidden="1" x14ac:dyDescent="0.25">
      <c r="A9" t="s">
        <v>466</v>
      </c>
      <c r="B9" t="s">
        <v>467</v>
      </c>
      <c r="C9">
        <v>10</v>
      </c>
      <c r="D9" t="s">
        <v>445</v>
      </c>
      <c r="E9" t="s">
        <v>267</v>
      </c>
      <c r="F9" s="23">
        <v>67500000</v>
      </c>
      <c r="G9">
        <v>30</v>
      </c>
      <c r="I9">
        <v>41</v>
      </c>
      <c r="K9">
        <v>365.5</v>
      </c>
      <c r="L9">
        <v>295.7</v>
      </c>
      <c r="M9">
        <v>288.2</v>
      </c>
      <c r="N9">
        <v>200.1</v>
      </c>
      <c r="O9">
        <v>181.7</v>
      </c>
      <c r="P9">
        <v>101</v>
      </c>
      <c r="Q9">
        <v>436.9</v>
      </c>
      <c r="R9">
        <v>377</v>
      </c>
      <c r="S9" t="s">
        <v>468</v>
      </c>
      <c r="T9">
        <v>310000</v>
      </c>
      <c r="U9" s="26">
        <v>45394.486805555556</v>
      </c>
      <c r="V9" s="26"/>
      <c r="AA9"/>
      <c r="AB9"/>
      <c r="AC9"/>
      <c r="AD9"/>
    </row>
    <row r="10" spans="1:48" x14ac:dyDescent="0.25">
      <c r="A10" t="s">
        <v>469</v>
      </c>
      <c r="B10" s="22" t="s">
        <v>438</v>
      </c>
      <c r="C10" s="22">
        <v>2</v>
      </c>
      <c r="D10" s="22" t="s">
        <v>470</v>
      </c>
      <c r="E10" s="22" t="s">
        <v>267</v>
      </c>
      <c r="F10" s="23">
        <v>16350000</v>
      </c>
      <c r="G10">
        <v>25</v>
      </c>
      <c r="H10">
        <v>10</v>
      </c>
      <c r="I10">
        <v>35</v>
      </c>
      <c r="J10">
        <v>3</v>
      </c>
      <c r="K10">
        <v>177</v>
      </c>
      <c r="L10">
        <v>83.4</v>
      </c>
      <c r="M10">
        <v>210.1</v>
      </c>
      <c r="N10">
        <v>181.2</v>
      </c>
      <c r="O10">
        <v>115.2</v>
      </c>
      <c r="Q10">
        <v>269.89999999999998</v>
      </c>
      <c r="R10">
        <v>242.1</v>
      </c>
      <c r="U10" s="5">
        <v>45400</v>
      </c>
      <c r="V10" s="12">
        <v>3</v>
      </c>
      <c r="W10">
        <v>1</v>
      </c>
      <c r="X10" t="s">
        <v>232</v>
      </c>
      <c r="AE10">
        <v>2</v>
      </c>
      <c r="AF10" t="s">
        <v>471</v>
      </c>
      <c r="AG10" t="s">
        <v>39</v>
      </c>
      <c r="AJ10" t="s">
        <v>39</v>
      </c>
      <c r="AM10" t="s">
        <v>208</v>
      </c>
      <c r="AP10" t="s">
        <v>208</v>
      </c>
      <c r="AR10" t="s">
        <v>208</v>
      </c>
      <c r="AT10" t="s">
        <v>208</v>
      </c>
      <c r="AU10" t="s">
        <v>208</v>
      </c>
      <c r="AV10" t="s">
        <v>39</v>
      </c>
    </row>
    <row r="11" spans="1:48" hidden="1" x14ac:dyDescent="0.25">
      <c r="A11" t="s">
        <v>472</v>
      </c>
      <c r="B11" t="s">
        <v>473</v>
      </c>
      <c r="C11">
        <v>3</v>
      </c>
      <c r="D11" t="s">
        <v>445</v>
      </c>
      <c r="E11" t="s">
        <v>267</v>
      </c>
      <c r="F11" s="23">
        <v>13300000</v>
      </c>
      <c r="G11">
        <v>19</v>
      </c>
      <c r="I11">
        <v>28</v>
      </c>
      <c r="K11">
        <v>395.5</v>
      </c>
      <c r="L11">
        <v>300.3</v>
      </c>
      <c r="M11">
        <v>239.1</v>
      </c>
      <c r="N11">
        <v>199.9</v>
      </c>
      <c r="O11">
        <v>101</v>
      </c>
      <c r="Q11">
        <v>684.1</v>
      </c>
      <c r="R11">
        <v>357.1</v>
      </c>
      <c r="U11" s="26">
        <v>45394.486805555556</v>
      </c>
      <c r="V11" s="26"/>
      <c r="AA11"/>
      <c r="AB11"/>
      <c r="AC11"/>
      <c r="AD11"/>
    </row>
    <row r="12" spans="1:48" x14ac:dyDescent="0.25">
      <c r="A12" t="s">
        <v>474</v>
      </c>
      <c r="B12" s="22" t="s">
        <v>438</v>
      </c>
      <c r="C12" s="22"/>
      <c r="D12" s="22" t="s">
        <v>475</v>
      </c>
      <c r="E12" s="22" t="s">
        <v>267</v>
      </c>
      <c r="F12" s="23">
        <v>13250000</v>
      </c>
      <c r="G12">
        <v>21</v>
      </c>
      <c r="H12">
        <v>15</v>
      </c>
      <c r="I12">
        <v>31</v>
      </c>
      <c r="K12">
        <v>99.2</v>
      </c>
      <c r="L12">
        <v>33.5</v>
      </c>
      <c r="M12">
        <v>264.2</v>
      </c>
      <c r="N12">
        <v>135</v>
      </c>
      <c r="O12">
        <v>391.9</v>
      </c>
      <c r="P12">
        <v>256.60000000000002</v>
      </c>
      <c r="Q12">
        <v>742.2</v>
      </c>
      <c r="R12">
        <v>354.6</v>
      </c>
      <c r="U12" s="5">
        <v>45400</v>
      </c>
      <c r="V12" s="12">
        <v>2</v>
      </c>
      <c r="W12">
        <v>2</v>
      </c>
      <c r="X12" t="s">
        <v>446</v>
      </c>
      <c r="Y12">
        <v>1</v>
      </c>
      <c r="Z12" t="s">
        <v>304</v>
      </c>
      <c r="AE12">
        <v>3</v>
      </c>
      <c r="AF12" t="s">
        <v>476</v>
      </c>
      <c r="AG12" t="s">
        <v>39</v>
      </c>
      <c r="AJ12" t="s">
        <v>39</v>
      </c>
      <c r="AM12" t="s">
        <v>208</v>
      </c>
      <c r="AP12" t="s">
        <v>39</v>
      </c>
      <c r="AR12" t="s">
        <v>208</v>
      </c>
      <c r="AT12" t="s">
        <v>208</v>
      </c>
      <c r="AU12" t="s">
        <v>208</v>
      </c>
      <c r="AV12" t="s">
        <v>208</v>
      </c>
    </row>
    <row r="13" spans="1:48" x14ac:dyDescent="0.25">
      <c r="A13" t="s">
        <v>477</v>
      </c>
      <c r="B13" s="22" t="s">
        <v>438</v>
      </c>
      <c r="C13" s="22">
        <v>8</v>
      </c>
      <c r="D13" s="22" t="s">
        <v>475</v>
      </c>
      <c r="E13" s="22" t="s">
        <v>267</v>
      </c>
      <c r="F13" s="23">
        <v>9900000</v>
      </c>
      <c r="G13">
        <v>19</v>
      </c>
      <c r="H13">
        <v>6</v>
      </c>
      <c r="I13">
        <v>29</v>
      </c>
      <c r="K13">
        <v>68.599999999999994</v>
      </c>
      <c r="L13">
        <v>35.6</v>
      </c>
      <c r="M13">
        <v>227.5</v>
      </c>
      <c r="N13">
        <v>194.2</v>
      </c>
      <c r="O13">
        <v>163.5</v>
      </c>
      <c r="Q13">
        <v>560.9</v>
      </c>
      <c r="R13">
        <v>394.5</v>
      </c>
      <c r="U13" s="5">
        <v>45400</v>
      </c>
      <c r="V13" s="12">
        <v>3</v>
      </c>
      <c r="AE13">
        <v>1</v>
      </c>
      <c r="AF13" t="s">
        <v>267</v>
      </c>
      <c r="AG13" t="s">
        <v>208</v>
      </c>
      <c r="AJ13" t="s">
        <v>39</v>
      </c>
      <c r="AM13" t="s">
        <v>208</v>
      </c>
      <c r="AP13" t="s">
        <v>208</v>
      </c>
      <c r="AR13" t="s">
        <v>208</v>
      </c>
      <c r="AT13" t="s">
        <v>208</v>
      </c>
      <c r="AU13" t="s">
        <v>208</v>
      </c>
      <c r="AV13" t="s">
        <v>208</v>
      </c>
    </row>
    <row r="14" spans="1:48" x14ac:dyDescent="0.25">
      <c r="A14" t="s">
        <v>478</v>
      </c>
      <c r="B14" s="22" t="s">
        <v>438</v>
      </c>
      <c r="C14" s="22">
        <v>1</v>
      </c>
      <c r="D14" s="22" t="s">
        <v>475</v>
      </c>
      <c r="E14" s="22" t="s">
        <v>267</v>
      </c>
      <c r="F14" s="23">
        <v>9900000</v>
      </c>
      <c r="G14">
        <v>19</v>
      </c>
      <c r="H14">
        <v>7</v>
      </c>
      <c r="I14">
        <v>29</v>
      </c>
      <c r="K14">
        <v>53.2</v>
      </c>
      <c r="L14">
        <v>33.5</v>
      </c>
      <c r="M14">
        <v>229.2</v>
      </c>
      <c r="N14">
        <v>193</v>
      </c>
      <c r="O14">
        <v>182.5</v>
      </c>
      <c r="Q14">
        <v>545.70000000000005</v>
      </c>
      <c r="R14">
        <v>354.6</v>
      </c>
      <c r="U14" s="5">
        <v>45400</v>
      </c>
      <c r="V14" s="12">
        <v>2</v>
      </c>
      <c r="AE14">
        <v>1</v>
      </c>
      <c r="AF14" t="s">
        <v>267</v>
      </c>
      <c r="AG14" t="s">
        <v>208</v>
      </c>
      <c r="AJ14" t="s">
        <v>39</v>
      </c>
      <c r="AM14" t="s">
        <v>208</v>
      </c>
      <c r="AP14" t="s">
        <v>208</v>
      </c>
      <c r="AR14" t="s">
        <v>208</v>
      </c>
      <c r="AS14" t="s">
        <v>479</v>
      </c>
      <c r="AT14" t="s">
        <v>208</v>
      </c>
      <c r="AU14" t="s">
        <v>208</v>
      </c>
      <c r="AV14" t="s">
        <v>208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048A4-D8B9-47FD-9B95-A5B179463758}">
  <sheetPr codeName="Sheet4"/>
  <dimension ref="A1:X31"/>
  <sheetViews>
    <sheetView workbookViewId="0"/>
  </sheetViews>
  <sheetFormatPr defaultRowHeight="15" x14ac:dyDescent="0.25"/>
  <cols>
    <col min="1" max="1" width="27" bestFit="1" customWidth="1"/>
    <col min="2" max="2" width="10.85546875" style="5" bestFit="1" customWidth="1"/>
    <col min="3" max="3" width="5.5703125" customWidth="1"/>
    <col min="4" max="4" width="23.28515625" bestFit="1" customWidth="1"/>
    <col min="5" max="5" width="14.28515625" bestFit="1" customWidth="1"/>
    <col min="6" max="6" width="10" customWidth="1"/>
    <col min="7" max="7" width="13.140625" customWidth="1"/>
    <col min="8" max="8" width="11.7109375" customWidth="1"/>
    <col min="10" max="10" width="14.28515625" customWidth="1"/>
    <col min="15" max="15" width="13.42578125" style="24" customWidth="1"/>
    <col min="16" max="16" width="8.5703125" customWidth="1"/>
    <col min="17" max="17" width="12.42578125" bestFit="1" customWidth="1"/>
    <col min="18" max="18" width="11.42578125" bestFit="1" customWidth="1"/>
    <col min="19" max="19" width="8.42578125" customWidth="1"/>
    <col min="20" max="20" width="9.42578125" customWidth="1"/>
    <col min="21" max="22" width="5.5703125" customWidth="1"/>
    <col min="23" max="23" width="5.7109375" customWidth="1"/>
  </cols>
  <sheetData>
    <row r="1" spans="1:24" x14ac:dyDescent="0.25">
      <c r="A1" t="s">
        <v>0</v>
      </c>
      <c r="B1" s="5" t="s">
        <v>409</v>
      </c>
      <c r="C1" t="s">
        <v>393</v>
      </c>
      <c r="D1" t="s">
        <v>480</v>
      </c>
      <c r="E1" t="s">
        <v>481</v>
      </c>
      <c r="F1" t="s">
        <v>482</v>
      </c>
      <c r="G1" t="s">
        <v>483</v>
      </c>
      <c r="H1" t="s">
        <v>484</v>
      </c>
      <c r="I1" t="s">
        <v>485</v>
      </c>
      <c r="J1" t="s">
        <v>486</v>
      </c>
      <c r="K1" t="s">
        <v>487</v>
      </c>
      <c r="L1" t="s">
        <v>488</v>
      </c>
      <c r="M1" t="s">
        <v>489</v>
      </c>
      <c r="N1" t="s">
        <v>180</v>
      </c>
      <c r="O1" s="24" t="s">
        <v>490</v>
      </c>
      <c r="P1" t="s">
        <v>491</v>
      </c>
      <c r="Q1" t="s">
        <v>492</v>
      </c>
      <c r="R1" t="s">
        <v>493</v>
      </c>
      <c r="S1" t="s">
        <v>494</v>
      </c>
      <c r="T1" t="s">
        <v>495</v>
      </c>
      <c r="U1" t="s">
        <v>496</v>
      </c>
      <c r="V1" t="s">
        <v>45</v>
      </c>
      <c r="W1" t="s">
        <v>497</v>
      </c>
      <c r="X1" t="s">
        <v>498</v>
      </c>
    </row>
    <row r="2" spans="1:24" x14ac:dyDescent="0.25">
      <c r="A2" t="s">
        <v>499</v>
      </c>
      <c r="B2" s="5">
        <v>45395</v>
      </c>
      <c r="C2" t="s">
        <v>232</v>
      </c>
      <c r="D2" t="s">
        <v>500</v>
      </c>
      <c r="E2" t="s">
        <v>482</v>
      </c>
      <c r="F2">
        <v>40</v>
      </c>
      <c r="G2">
        <v>12</v>
      </c>
      <c r="H2">
        <v>19</v>
      </c>
      <c r="I2">
        <v>12</v>
      </c>
      <c r="J2">
        <v>48</v>
      </c>
      <c r="K2">
        <v>8</v>
      </c>
      <c r="L2" t="s">
        <v>501</v>
      </c>
      <c r="M2" t="s">
        <v>502</v>
      </c>
      <c r="N2" t="s">
        <v>503</v>
      </c>
      <c r="O2" s="24" t="s">
        <v>504</v>
      </c>
      <c r="P2">
        <v>432</v>
      </c>
      <c r="Q2" s="11">
        <v>0.06</v>
      </c>
      <c r="R2">
        <v>25</v>
      </c>
      <c r="T2" s="11">
        <v>-0.03</v>
      </c>
      <c r="W2">
        <v>2</v>
      </c>
    </row>
    <row r="3" spans="1:24" x14ac:dyDescent="0.25">
      <c r="A3" t="s">
        <v>505</v>
      </c>
      <c r="B3" s="5">
        <v>45394</v>
      </c>
      <c r="C3" t="s">
        <v>232</v>
      </c>
      <c r="D3" t="s">
        <v>500</v>
      </c>
      <c r="E3" t="s">
        <v>482</v>
      </c>
      <c r="F3">
        <v>29</v>
      </c>
      <c r="G3">
        <v>13</v>
      </c>
      <c r="H3">
        <v>12</v>
      </c>
      <c r="I3">
        <v>15</v>
      </c>
      <c r="J3">
        <v>43</v>
      </c>
      <c r="K3">
        <v>2</v>
      </c>
      <c r="L3" t="s">
        <v>506</v>
      </c>
      <c r="M3" t="s">
        <v>507</v>
      </c>
      <c r="N3" t="s">
        <v>508</v>
      </c>
      <c r="O3" s="24" t="s">
        <v>509</v>
      </c>
      <c r="P3">
        <v>427</v>
      </c>
      <c r="Q3" s="11">
        <v>7.0000000000000007E-2</v>
      </c>
      <c r="R3" s="27">
        <v>15</v>
      </c>
      <c r="S3" s="27">
        <v>-8</v>
      </c>
      <c r="T3" s="27"/>
      <c r="U3">
        <v>1</v>
      </c>
    </row>
    <row r="4" spans="1:24" x14ac:dyDescent="0.25">
      <c r="A4" t="s">
        <v>510</v>
      </c>
      <c r="B4" s="5">
        <v>45394</v>
      </c>
      <c r="C4" t="s">
        <v>232</v>
      </c>
      <c r="D4" t="s">
        <v>500</v>
      </c>
      <c r="E4" t="s">
        <v>482</v>
      </c>
      <c r="F4">
        <v>32</v>
      </c>
      <c r="G4">
        <v>16</v>
      </c>
      <c r="H4">
        <v>22</v>
      </c>
      <c r="I4">
        <v>16</v>
      </c>
      <c r="J4">
        <v>70</v>
      </c>
      <c r="K4">
        <v>12</v>
      </c>
      <c r="L4" t="s">
        <v>511</v>
      </c>
      <c r="M4" t="s">
        <v>512</v>
      </c>
      <c r="N4" t="s">
        <v>513</v>
      </c>
      <c r="O4" s="24" t="s">
        <v>514</v>
      </c>
      <c r="P4">
        <v>815</v>
      </c>
      <c r="R4">
        <v>17</v>
      </c>
      <c r="S4">
        <v>-6</v>
      </c>
      <c r="U4">
        <v>1</v>
      </c>
      <c r="W4">
        <v>2</v>
      </c>
    </row>
    <row r="5" spans="1:24" x14ac:dyDescent="0.25">
      <c r="A5" t="s">
        <v>515</v>
      </c>
      <c r="B5" s="5">
        <v>45394</v>
      </c>
      <c r="C5" t="s">
        <v>232</v>
      </c>
      <c r="D5" t="s">
        <v>500</v>
      </c>
      <c r="E5" t="s">
        <v>482</v>
      </c>
      <c r="F5">
        <v>38</v>
      </c>
      <c r="G5">
        <v>9</v>
      </c>
      <c r="H5">
        <v>12</v>
      </c>
      <c r="I5">
        <v>18</v>
      </c>
      <c r="J5">
        <v>44</v>
      </c>
      <c r="K5">
        <v>22</v>
      </c>
      <c r="L5" t="s">
        <v>516</v>
      </c>
      <c r="M5" t="s">
        <v>517</v>
      </c>
      <c r="N5" t="s">
        <v>518</v>
      </c>
      <c r="O5" s="24" t="s">
        <v>514</v>
      </c>
      <c r="P5">
        <v>350</v>
      </c>
      <c r="Q5" s="11">
        <v>0.09</v>
      </c>
      <c r="R5">
        <v>21</v>
      </c>
      <c r="T5" s="11">
        <v>-0.01</v>
      </c>
      <c r="V5">
        <v>5</v>
      </c>
    </row>
    <row r="6" spans="1:24" x14ac:dyDescent="0.25">
      <c r="A6" t="s">
        <v>519</v>
      </c>
      <c r="B6" s="5">
        <v>45394</v>
      </c>
      <c r="C6" t="s">
        <v>232</v>
      </c>
      <c r="D6" t="s">
        <v>500</v>
      </c>
      <c r="E6" t="s">
        <v>482</v>
      </c>
      <c r="F6">
        <v>38</v>
      </c>
      <c r="G6">
        <v>16</v>
      </c>
      <c r="H6">
        <v>21</v>
      </c>
      <c r="I6">
        <v>16</v>
      </c>
      <c r="J6">
        <v>64</v>
      </c>
      <c r="K6">
        <v>15</v>
      </c>
      <c r="L6" t="s">
        <v>520</v>
      </c>
      <c r="M6" t="s">
        <v>521</v>
      </c>
      <c r="N6" t="s">
        <v>522</v>
      </c>
      <c r="O6" s="24" t="s">
        <v>504</v>
      </c>
      <c r="P6">
        <v>722</v>
      </c>
    </row>
    <row r="7" spans="1:24" x14ac:dyDescent="0.25">
      <c r="A7" t="s">
        <v>523</v>
      </c>
      <c r="B7" s="5">
        <v>45395</v>
      </c>
      <c r="C7" t="s">
        <v>267</v>
      </c>
      <c r="D7" t="s">
        <v>524</v>
      </c>
      <c r="E7" t="s">
        <v>483</v>
      </c>
      <c r="F7">
        <v>9</v>
      </c>
      <c r="G7">
        <v>24</v>
      </c>
      <c r="H7">
        <v>5</v>
      </c>
      <c r="I7">
        <v>7</v>
      </c>
      <c r="J7">
        <v>19</v>
      </c>
      <c r="K7">
        <v>3</v>
      </c>
      <c r="L7" t="s">
        <v>525</v>
      </c>
      <c r="M7" t="s">
        <v>526</v>
      </c>
      <c r="N7" t="s">
        <v>527</v>
      </c>
      <c r="O7" s="24" t="s">
        <v>528</v>
      </c>
      <c r="P7">
        <v>164</v>
      </c>
      <c r="Q7" s="11">
        <v>0.16</v>
      </c>
      <c r="R7">
        <v>1</v>
      </c>
      <c r="S7">
        <v>-6</v>
      </c>
      <c r="T7" s="11">
        <v>-0.03</v>
      </c>
      <c r="W7">
        <v>15</v>
      </c>
    </row>
    <row r="8" spans="1:24" x14ac:dyDescent="0.25">
      <c r="A8" t="s">
        <v>529</v>
      </c>
      <c r="B8" s="5">
        <v>45395</v>
      </c>
      <c r="C8" t="s">
        <v>304</v>
      </c>
      <c r="D8" t="s">
        <v>530</v>
      </c>
      <c r="E8" t="s">
        <v>483</v>
      </c>
      <c r="F8">
        <v>5</v>
      </c>
      <c r="G8">
        <v>26</v>
      </c>
      <c r="H8">
        <v>3</v>
      </c>
      <c r="I8">
        <v>9</v>
      </c>
      <c r="J8">
        <v>24</v>
      </c>
      <c r="K8">
        <v>8</v>
      </c>
      <c r="L8" t="s">
        <v>531</v>
      </c>
      <c r="M8" t="s">
        <v>532</v>
      </c>
      <c r="N8" t="s">
        <v>508</v>
      </c>
      <c r="O8" s="24" t="s">
        <v>528</v>
      </c>
      <c r="P8">
        <v>188</v>
      </c>
      <c r="Q8" s="11">
        <v>0.32</v>
      </c>
      <c r="S8">
        <v>-4</v>
      </c>
      <c r="W8">
        <v>19</v>
      </c>
    </row>
    <row r="9" spans="1:24" x14ac:dyDescent="0.25">
      <c r="A9" t="s">
        <v>533</v>
      </c>
      <c r="B9" s="5">
        <v>45395</v>
      </c>
      <c r="C9" t="s">
        <v>207</v>
      </c>
      <c r="D9" t="s">
        <v>534</v>
      </c>
      <c r="E9" t="s">
        <v>483</v>
      </c>
      <c r="F9">
        <v>2</v>
      </c>
      <c r="G9">
        <v>19</v>
      </c>
      <c r="H9">
        <v>2</v>
      </c>
      <c r="I9">
        <v>1</v>
      </c>
      <c r="J9">
        <v>4</v>
      </c>
      <c r="K9">
        <v>1</v>
      </c>
      <c r="L9" t="s">
        <v>535</v>
      </c>
      <c r="M9" t="s">
        <v>536</v>
      </c>
      <c r="N9" t="s">
        <v>537</v>
      </c>
      <c r="O9" s="24" t="s">
        <v>514</v>
      </c>
      <c r="P9">
        <v>57</v>
      </c>
      <c r="Q9" s="11">
        <v>0</v>
      </c>
      <c r="W9">
        <v>15</v>
      </c>
    </row>
    <row r="10" spans="1:24" x14ac:dyDescent="0.25">
      <c r="A10" t="s">
        <v>538</v>
      </c>
      <c r="B10" s="5">
        <v>45395</v>
      </c>
      <c r="C10" t="s">
        <v>232</v>
      </c>
      <c r="D10" t="s">
        <v>539</v>
      </c>
      <c r="E10" t="s">
        <v>483</v>
      </c>
      <c r="F10">
        <v>11</v>
      </c>
      <c r="G10">
        <v>34</v>
      </c>
      <c r="H10">
        <v>15</v>
      </c>
      <c r="I10">
        <v>12</v>
      </c>
      <c r="J10">
        <v>40</v>
      </c>
      <c r="K10">
        <v>2</v>
      </c>
      <c r="L10" t="s">
        <v>540</v>
      </c>
      <c r="M10" t="s">
        <v>541</v>
      </c>
      <c r="N10" t="s">
        <v>542</v>
      </c>
      <c r="O10" s="24" t="s">
        <v>528</v>
      </c>
      <c r="P10">
        <v>407</v>
      </c>
      <c r="Q10" s="11">
        <v>0</v>
      </c>
      <c r="R10">
        <v>2</v>
      </c>
      <c r="T10" s="11">
        <v>-0.02</v>
      </c>
      <c r="W10">
        <v>19</v>
      </c>
      <c r="X10" t="s">
        <v>543</v>
      </c>
    </row>
    <row r="11" spans="1:24" x14ac:dyDescent="0.25">
      <c r="A11" t="s">
        <v>544</v>
      </c>
      <c r="B11" s="5">
        <v>45395</v>
      </c>
      <c r="C11" t="s">
        <v>304</v>
      </c>
      <c r="D11" t="s">
        <v>545</v>
      </c>
      <c r="E11" t="s">
        <v>484</v>
      </c>
      <c r="F11">
        <v>4</v>
      </c>
      <c r="G11">
        <v>5</v>
      </c>
      <c r="H11">
        <v>20</v>
      </c>
      <c r="I11">
        <v>6</v>
      </c>
      <c r="J11">
        <v>12</v>
      </c>
      <c r="K11">
        <v>1</v>
      </c>
      <c r="L11" t="s">
        <v>546</v>
      </c>
      <c r="M11" t="s">
        <v>547</v>
      </c>
      <c r="N11" t="s">
        <v>503</v>
      </c>
      <c r="O11" s="24" t="s">
        <v>509</v>
      </c>
      <c r="P11">
        <v>139</v>
      </c>
      <c r="Q11" s="11">
        <v>0.27</v>
      </c>
      <c r="T11" s="11">
        <v>-0.01</v>
      </c>
      <c r="U11">
        <v>15</v>
      </c>
      <c r="W11">
        <v>2</v>
      </c>
    </row>
    <row r="12" spans="1:24" x14ac:dyDescent="0.25">
      <c r="A12" t="s">
        <v>548</v>
      </c>
      <c r="B12" s="5">
        <v>45394</v>
      </c>
      <c r="C12" t="s">
        <v>207</v>
      </c>
      <c r="D12" t="s">
        <v>549</v>
      </c>
      <c r="E12" t="s">
        <v>484</v>
      </c>
      <c r="F12">
        <v>5</v>
      </c>
      <c r="G12">
        <v>2</v>
      </c>
      <c r="H12">
        <v>18</v>
      </c>
      <c r="I12">
        <v>2</v>
      </c>
      <c r="J12">
        <v>5</v>
      </c>
      <c r="K12">
        <v>0</v>
      </c>
      <c r="L12" t="s">
        <v>550</v>
      </c>
      <c r="M12" t="s">
        <v>551</v>
      </c>
      <c r="N12" t="s">
        <v>552</v>
      </c>
      <c r="O12" s="24" t="s">
        <v>514</v>
      </c>
      <c r="P12">
        <v>40</v>
      </c>
      <c r="Q12" s="11">
        <v>0.13</v>
      </c>
      <c r="R12">
        <v>2</v>
      </c>
      <c r="U12">
        <v>15</v>
      </c>
    </row>
    <row r="13" spans="1:24" x14ac:dyDescent="0.25">
      <c r="A13" t="s">
        <v>553</v>
      </c>
      <c r="B13" s="5">
        <v>45394</v>
      </c>
      <c r="C13" t="s">
        <v>207</v>
      </c>
      <c r="D13" t="s">
        <v>549</v>
      </c>
      <c r="E13" t="s">
        <v>484</v>
      </c>
      <c r="F13">
        <v>3</v>
      </c>
      <c r="G13">
        <v>3</v>
      </c>
      <c r="H13">
        <v>22</v>
      </c>
      <c r="I13">
        <v>1</v>
      </c>
      <c r="J13">
        <v>4</v>
      </c>
      <c r="K13">
        <v>0</v>
      </c>
      <c r="L13" t="s">
        <v>554</v>
      </c>
      <c r="M13" t="s">
        <v>555</v>
      </c>
      <c r="N13" t="s">
        <v>556</v>
      </c>
      <c r="O13" s="24" t="s">
        <v>514</v>
      </c>
      <c r="P13">
        <v>38</v>
      </c>
      <c r="Q13" s="11">
        <v>0</v>
      </c>
      <c r="U13">
        <v>17</v>
      </c>
    </row>
    <row r="14" spans="1:24" x14ac:dyDescent="0.25">
      <c r="A14" t="s">
        <v>557</v>
      </c>
      <c r="B14" s="5">
        <v>45394</v>
      </c>
      <c r="C14" t="s">
        <v>207</v>
      </c>
      <c r="D14" t="s">
        <v>549</v>
      </c>
      <c r="E14" t="s">
        <v>484</v>
      </c>
      <c r="F14">
        <v>1</v>
      </c>
      <c r="G14">
        <v>1</v>
      </c>
      <c r="H14">
        <v>19</v>
      </c>
      <c r="I14">
        <v>3</v>
      </c>
      <c r="J14">
        <v>3</v>
      </c>
      <c r="K14">
        <v>1</v>
      </c>
      <c r="L14" t="s">
        <v>558</v>
      </c>
      <c r="M14" t="s">
        <v>559</v>
      </c>
      <c r="N14" t="s">
        <v>560</v>
      </c>
      <c r="O14" s="24" t="s">
        <v>528</v>
      </c>
      <c r="P14">
        <v>39</v>
      </c>
      <c r="Q14" s="11">
        <v>0.75</v>
      </c>
      <c r="U14">
        <v>15</v>
      </c>
    </row>
    <row r="15" spans="1:24" x14ac:dyDescent="0.25">
      <c r="A15" t="s">
        <v>561</v>
      </c>
      <c r="B15" s="5">
        <v>45394</v>
      </c>
      <c r="C15" t="s">
        <v>232</v>
      </c>
      <c r="D15" t="s">
        <v>562</v>
      </c>
      <c r="E15" t="s">
        <v>484</v>
      </c>
      <c r="F15">
        <v>12</v>
      </c>
      <c r="G15">
        <v>11</v>
      </c>
      <c r="H15">
        <v>28</v>
      </c>
      <c r="I15">
        <v>9</v>
      </c>
      <c r="J15">
        <v>35</v>
      </c>
      <c r="K15">
        <v>1</v>
      </c>
      <c r="L15" t="s">
        <v>563</v>
      </c>
      <c r="M15" t="s">
        <v>564</v>
      </c>
      <c r="N15" t="s">
        <v>565</v>
      </c>
      <c r="O15" s="24" t="s">
        <v>504</v>
      </c>
      <c r="P15">
        <v>333</v>
      </c>
      <c r="Q15" s="11">
        <v>0</v>
      </c>
      <c r="R15">
        <v>2</v>
      </c>
      <c r="U15">
        <v>15</v>
      </c>
      <c r="V15">
        <v>1</v>
      </c>
      <c r="W15">
        <v>3</v>
      </c>
      <c r="X15" t="s">
        <v>566</v>
      </c>
    </row>
    <row r="16" spans="1:24" x14ac:dyDescent="0.25">
      <c r="A16" t="s">
        <v>567</v>
      </c>
      <c r="B16" s="5">
        <v>45394</v>
      </c>
      <c r="C16" t="s">
        <v>232</v>
      </c>
      <c r="D16" t="s">
        <v>562</v>
      </c>
      <c r="E16" t="s">
        <v>484</v>
      </c>
      <c r="F16">
        <v>17</v>
      </c>
      <c r="G16">
        <v>13</v>
      </c>
      <c r="H16">
        <v>34</v>
      </c>
      <c r="I16">
        <v>18</v>
      </c>
      <c r="J16">
        <v>62</v>
      </c>
      <c r="K16">
        <v>12</v>
      </c>
      <c r="L16" t="s">
        <v>568</v>
      </c>
      <c r="M16" t="s">
        <v>569</v>
      </c>
      <c r="N16" t="s">
        <v>570</v>
      </c>
      <c r="O16" s="24" t="s">
        <v>514</v>
      </c>
      <c r="P16">
        <v>486</v>
      </c>
      <c r="S16">
        <v>-12</v>
      </c>
      <c r="U16">
        <v>17</v>
      </c>
    </row>
    <row r="17" spans="1:24" x14ac:dyDescent="0.25">
      <c r="A17" t="s">
        <v>571</v>
      </c>
      <c r="B17" s="5">
        <v>45394</v>
      </c>
      <c r="C17" t="s">
        <v>232</v>
      </c>
      <c r="D17" t="s">
        <v>562</v>
      </c>
      <c r="E17" t="s">
        <v>484</v>
      </c>
      <c r="F17">
        <v>16</v>
      </c>
      <c r="G17">
        <v>17</v>
      </c>
      <c r="H17">
        <v>37</v>
      </c>
      <c r="I17">
        <v>20</v>
      </c>
      <c r="J17">
        <v>60</v>
      </c>
      <c r="K17">
        <v>10</v>
      </c>
      <c r="L17" t="s">
        <v>572</v>
      </c>
      <c r="M17" t="s">
        <v>573</v>
      </c>
      <c r="N17" t="s">
        <v>574</v>
      </c>
      <c r="O17" s="24" t="s">
        <v>528</v>
      </c>
      <c r="P17">
        <v>487</v>
      </c>
      <c r="R17">
        <v>2</v>
      </c>
      <c r="T17" s="11">
        <v>-0.01</v>
      </c>
      <c r="U17">
        <v>21</v>
      </c>
      <c r="V17">
        <v>1</v>
      </c>
    </row>
    <row r="18" spans="1:24" x14ac:dyDescent="0.25">
      <c r="A18" t="s">
        <v>575</v>
      </c>
      <c r="B18" s="5">
        <v>45394</v>
      </c>
      <c r="C18" t="s">
        <v>232</v>
      </c>
      <c r="D18" t="s">
        <v>576</v>
      </c>
      <c r="E18" t="s">
        <v>577</v>
      </c>
      <c r="F18">
        <v>24</v>
      </c>
      <c r="G18">
        <v>14</v>
      </c>
      <c r="H18">
        <v>12</v>
      </c>
      <c r="I18">
        <v>11</v>
      </c>
      <c r="J18">
        <v>35</v>
      </c>
      <c r="K18">
        <v>0</v>
      </c>
      <c r="O18" s="24" t="s">
        <v>504</v>
      </c>
      <c r="P18">
        <v>269</v>
      </c>
      <c r="Q18" s="11">
        <v>0</v>
      </c>
      <c r="R18">
        <v>12</v>
      </c>
      <c r="S18">
        <v>-15</v>
      </c>
      <c r="T18" s="11">
        <v>-0.03</v>
      </c>
    </row>
    <row r="19" spans="1:24" x14ac:dyDescent="0.25">
      <c r="A19" t="s">
        <v>578</v>
      </c>
      <c r="B19" s="5">
        <v>45394</v>
      </c>
      <c r="C19" t="s">
        <v>267</v>
      </c>
      <c r="D19" t="s">
        <v>579</v>
      </c>
      <c r="E19" t="s">
        <v>580</v>
      </c>
      <c r="F19">
        <v>11</v>
      </c>
      <c r="G19">
        <v>8</v>
      </c>
      <c r="H19">
        <v>7</v>
      </c>
      <c r="I19">
        <v>4</v>
      </c>
      <c r="J19">
        <v>20</v>
      </c>
      <c r="K19">
        <v>3</v>
      </c>
      <c r="L19" t="s">
        <v>581</v>
      </c>
      <c r="M19" t="s">
        <v>582</v>
      </c>
      <c r="N19" t="s">
        <v>583</v>
      </c>
      <c r="O19" s="24" t="s">
        <v>584</v>
      </c>
      <c r="P19">
        <v>199</v>
      </c>
      <c r="Q19" s="11">
        <v>0.2</v>
      </c>
      <c r="R19">
        <v>2</v>
      </c>
      <c r="S19">
        <v>-27</v>
      </c>
    </row>
    <row r="20" spans="1:24" x14ac:dyDescent="0.25">
      <c r="A20" t="s">
        <v>585</v>
      </c>
      <c r="B20" s="5">
        <v>45394</v>
      </c>
      <c r="C20" t="s">
        <v>304</v>
      </c>
      <c r="D20" t="s">
        <v>586</v>
      </c>
      <c r="E20" t="s">
        <v>580</v>
      </c>
      <c r="F20">
        <v>17</v>
      </c>
      <c r="G20">
        <v>15</v>
      </c>
      <c r="H20">
        <v>14</v>
      </c>
      <c r="I20">
        <v>17</v>
      </c>
      <c r="J20">
        <v>58</v>
      </c>
      <c r="K20">
        <v>14</v>
      </c>
      <c r="L20" t="s">
        <v>587</v>
      </c>
      <c r="M20" t="s">
        <v>588</v>
      </c>
      <c r="N20" t="s">
        <v>589</v>
      </c>
      <c r="O20" s="24" t="s">
        <v>590</v>
      </c>
      <c r="P20">
        <v>362</v>
      </c>
      <c r="S20">
        <v>-27</v>
      </c>
      <c r="X20" t="s">
        <v>543</v>
      </c>
    </row>
    <row r="21" spans="1:24" x14ac:dyDescent="0.25">
      <c r="A21" t="s">
        <v>591</v>
      </c>
      <c r="B21" s="5">
        <v>45395</v>
      </c>
      <c r="C21" t="s">
        <v>207</v>
      </c>
      <c r="D21" t="s">
        <v>592</v>
      </c>
      <c r="E21" t="s">
        <v>580</v>
      </c>
      <c r="F21">
        <v>8</v>
      </c>
      <c r="G21">
        <v>14</v>
      </c>
      <c r="H21">
        <v>11</v>
      </c>
      <c r="I21">
        <v>9</v>
      </c>
      <c r="J21">
        <v>40</v>
      </c>
      <c r="K21">
        <v>5</v>
      </c>
      <c r="L21" t="s">
        <v>593</v>
      </c>
      <c r="M21" t="s">
        <v>594</v>
      </c>
      <c r="N21" t="s">
        <v>595</v>
      </c>
      <c r="O21" s="24" t="s">
        <v>596</v>
      </c>
      <c r="P21">
        <v>256</v>
      </c>
      <c r="Q21" s="11">
        <v>0</v>
      </c>
      <c r="R21">
        <v>-4</v>
      </c>
      <c r="S21">
        <v>-21</v>
      </c>
      <c r="W21">
        <v>1</v>
      </c>
    </row>
    <row r="22" spans="1:24" x14ac:dyDescent="0.25">
      <c r="A22" t="s">
        <v>597</v>
      </c>
      <c r="B22" s="5">
        <v>45394</v>
      </c>
      <c r="C22" t="s">
        <v>207</v>
      </c>
      <c r="D22" t="s">
        <v>592</v>
      </c>
      <c r="E22" t="s">
        <v>580</v>
      </c>
      <c r="F22">
        <v>2</v>
      </c>
      <c r="G22">
        <v>2</v>
      </c>
      <c r="H22">
        <v>1</v>
      </c>
      <c r="I22">
        <v>3</v>
      </c>
      <c r="J22">
        <v>3</v>
      </c>
      <c r="K22">
        <v>2</v>
      </c>
      <c r="L22" t="s">
        <v>598</v>
      </c>
      <c r="M22" t="s">
        <v>599</v>
      </c>
      <c r="N22" t="s">
        <v>574</v>
      </c>
      <c r="O22" s="24" t="s">
        <v>590</v>
      </c>
      <c r="P22">
        <v>19</v>
      </c>
      <c r="Q22" s="11">
        <v>0.75</v>
      </c>
      <c r="S22">
        <v>-15</v>
      </c>
    </row>
    <row r="23" spans="1:24" x14ac:dyDescent="0.25">
      <c r="A23" t="s">
        <v>600</v>
      </c>
      <c r="B23" s="5">
        <v>45395</v>
      </c>
      <c r="C23" t="s">
        <v>232</v>
      </c>
      <c r="D23" t="s">
        <v>579</v>
      </c>
      <c r="E23" t="s">
        <v>580</v>
      </c>
      <c r="F23">
        <v>21</v>
      </c>
      <c r="G23">
        <v>13</v>
      </c>
      <c r="H23">
        <v>15</v>
      </c>
      <c r="I23">
        <v>14</v>
      </c>
      <c r="J23">
        <v>49</v>
      </c>
      <c r="K23">
        <v>4</v>
      </c>
      <c r="L23" t="s">
        <v>601</v>
      </c>
      <c r="M23" t="s">
        <v>602</v>
      </c>
      <c r="N23" t="s">
        <v>603</v>
      </c>
      <c r="O23" s="24" t="s">
        <v>604</v>
      </c>
      <c r="P23">
        <v>388</v>
      </c>
      <c r="Q23" s="11">
        <v>0.08</v>
      </c>
      <c r="R23">
        <v>5</v>
      </c>
      <c r="S23">
        <v>-21</v>
      </c>
      <c r="U23">
        <v>3</v>
      </c>
    </row>
    <row r="24" spans="1:24" x14ac:dyDescent="0.25">
      <c r="A24" t="s">
        <v>605</v>
      </c>
      <c r="B24" s="5">
        <v>45395</v>
      </c>
      <c r="C24" t="s">
        <v>232</v>
      </c>
      <c r="D24" t="s">
        <v>606</v>
      </c>
      <c r="E24" t="s">
        <v>580</v>
      </c>
      <c r="F24">
        <v>18</v>
      </c>
      <c r="G24">
        <v>12</v>
      </c>
      <c r="H24">
        <v>15</v>
      </c>
      <c r="I24">
        <v>18</v>
      </c>
      <c r="J24">
        <v>62</v>
      </c>
      <c r="K24">
        <v>21</v>
      </c>
      <c r="L24" t="s">
        <v>607</v>
      </c>
      <c r="M24" t="s">
        <v>608</v>
      </c>
      <c r="N24" t="s">
        <v>609</v>
      </c>
      <c r="O24" s="24" t="s">
        <v>604</v>
      </c>
      <c r="P24">
        <v>678</v>
      </c>
      <c r="S24">
        <v>-27</v>
      </c>
      <c r="T24" s="11">
        <v>-0.01</v>
      </c>
    </row>
    <row r="25" spans="1:24" x14ac:dyDescent="0.25">
      <c r="A25" t="s">
        <v>610</v>
      </c>
      <c r="B25" s="5">
        <v>45394</v>
      </c>
      <c r="C25" t="s">
        <v>232</v>
      </c>
      <c r="D25" t="s">
        <v>606</v>
      </c>
      <c r="E25" t="s">
        <v>580</v>
      </c>
      <c r="F25">
        <v>12</v>
      </c>
      <c r="G25">
        <v>13</v>
      </c>
      <c r="H25">
        <v>15</v>
      </c>
      <c r="I25">
        <v>11</v>
      </c>
      <c r="J25">
        <v>42</v>
      </c>
      <c r="K25">
        <v>5</v>
      </c>
      <c r="L25" t="s">
        <v>611</v>
      </c>
      <c r="M25" t="s">
        <v>612</v>
      </c>
      <c r="N25" t="s">
        <v>570</v>
      </c>
      <c r="O25" s="24" t="s">
        <v>590</v>
      </c>
      <c r="P25">
        <v>329</v>
      </c>
      <c r="Q25" s="11">
        <v>0.04</v>
      </c>
      <c r="S25">
        <v>-15</v>
      </c>
      <c r="T25" s="11">
        <v>-0.02</v>
      </c>
      <c r="U25">
        <v>3</v>
      </c>
      <c r="V25">
        <v>2</v>
      </c>
    </row>
    <row r="26" spans="1:24" x14ac:dyDescent="0.25">
      <c r="A26" t="s">
        <v>613</v>
      </c>
      <c r="B26" s="5">
        <v>45394</v>
      </c>
      <c r="C26" t="s">
        <v>267</v>
      </c>
      <c r="D26" t="s">
        <v>614</v>
      </c>
      <c r="E26" t="s">
        <v>485</v>
      </c>
      <c r="F26">
        <v>6</v>
      </c>
      <c r="G26">
        <v>9</v>
      </c>
      <c r="H26">
        <v>7</v>
      </c>
      <c r="I26">
        <v>24</v>
      </c>
      <c r="J26">
        <v>20</v>
      </c>
      <c r="K26">
        <v>10</v>
      </c>
      <c r="L26" t="s">
        <v>615</v>
      </c>
      <c r="M26" t="s">
        <v>608</v>
      </c>
      <c r="N26" t="s">
        <v>616</v>
      </c>
      <c r="O26" s="24" t="s">
        <v>514</v>
      </c>
      <c r="P26">
        <v>219</v>
      </c>
      <c r="Q26" s="11">
        <v>0.2</v>
      </c>
      <c r="R26">
        <v>3</v>
      </c>
      <c r="S26">
        <v>-2</v>
      </c>
      <c r="T26" s="11">
        <v>-0.02</v>
      </c>
      <c r="V26">
        <v>15</v>
      </c>
    </row>
    <row r="27" spans="1:24" x14ac:dyDescent="0.25">
      <c r="A27" t="s">
        <v>617</v>
      </c>
      <c r="B27" s="5">
        <v>45395</v>
      </c>
      <c r="C27" t="s">
        <v>304</v>
      </c>
      <c r="D27" t="s">
        <v>618</v>
      </c>
      <c r="E27" t="s">
        <v>485</v>
      </c>
      <c r="F27">
        <v>5</v>
      </c>
      <c r="G27">
        <v>7</v>
      </c>
      <c r="H27">
        <v>6</v>
      </c>
      <c r="I27">
        <v>24</v>
      </c>
      <c r="J27">
        <v>11</v>
      </c>
      <c r="K27">
        <v>1</v>
      </c>
      <c r="L27" t="s">
        <v>619</v>
      </c>
      <c r="M27" t="s">
        <v>547</v>
      </c>
      <c r="N27" t="s">
        <v>503</v>
      </c>
      <c r="O27" s="24" t="s">
        <v>528</v>
      </c>
      <c r="P27">
        <v>120</v>
      </c>
      <c r="Q27" s="11">
        <v>0.2</v>
      </c>
      <c r="R27">
        <v>2</v>
      </c>
      <c r="V27">
        <v>15</v>
      </c>
      <c r="W27">
        <v>3</v>
      </c>
    </row>
    <row r="28" spans="1:24" x14ac:dyDescent="0.25">
      <c r="A28" t="s">
        <v>620</v>
      </c>
      <c r="B28" s="5">
        <v>45394</v>
      </c>
      <c r="C28" t="s">
        <v>207</v>
      </c>
      <c r="D28" t="s">
        <v>621</v>
      </c>
      <c r="E28" t="s">
        <v>485</v>
      </c>
      <c r="F28">
        <v>9</v>
      </c>
      <c r="G28">
        <v>5</v>
      </c>
      <c r="H28">
        <v>8</v>
      </c>
      <c r="I28">
        <v>24</v>
      </c>
      <c r="J28">
        <v>20</v>
      </c>
      <c r="K28">
        <v>11</v>
      </c>
      <c r="L28" t="s">
        <v>622</v>
      </c>
      <c r="M28" t="s">
        <v>573</v>
      </c>
      <c r="N28" t="s">
        <v>623</v>
      </c>
      <c r="O28" s="24" t="s">
        <v>514</v>
      </c>
      <c r="P28">
        <v>281</v>
      </c>
      <c r="Q28" s="11">
        <v>0.2</v>
      </c>
      <c r="R28">
        <v>2</v>
      </c>
      <c r="V28">
        <v>15</v>
      </c>
    </row>
    <row r="29" spans="1:24" x14ac:dyDescent="0.25">
      <c r="A29" t="s">
        <v>624</v>
      </c>
      <c r="B29" s="5">
        <v>45394</v>
      </c>
      <c r="C29" t="s">
        <v>232</v>
      </c>
      <c r="D29" t="s">
        <v>625</v>
      </c>
      <c r="E29" t="s">
        <v>485</v>
      </c>
      <c r="F29">
        <v>7</v>
      </c>
      <c r="G29">
        <v>11</v>
      </c>
      <c r="H29">
        <v>5</v>
      </c>
      <c r="I29">
        <v>27</v>
      </c>
      <c r="J29">
        <v>28</v>
      </c>
      <c r="K29">
        <v>9</v>
      </c>
      <c r="L29" t="s">
        <v>626</v>
      </c>
      <c r="M29" t="s">
        <v>627</v>
      </c>
      <c r="N29" t="s">
        <v>583</v>
      </c>
      <c r="O29" s="24" t="s">
        <v>504</v>
      </c>
      <c r="P29">
        <v>182</v>
      </c>
      <c r="Q29" s="11">
        <v>0.1</v>
      </c>
      <c r="T29" s="11">
        <v>-0.01</v>
      </c>
      <c r="V29">
        <v>17</v>
      </c>
      <c r="W29">
        <v>4</v>
      </c>
    </row>
    <row r="30" spans="1:24" x14ac:dyDescent="0.25">
      <c r="A30" t="s">
        <v>628</v>
      </c>
      <c r="B30" s="5">
        <v>45395</v>
      </c>
      <c r="C30" t="s">
        <v>232</v>
      </c>
      <c r="D30" t="s">
        <v>625</v>
      </c>
      <c r="E30" t="s">
        <v>485</v>
      </c>
      <c r="F30">
        <v>14</v>
      </c>
      <c r="G30">
        <v>17</v>
      </c>
      <c r="H30">
        <v>16</v>
      </c>
      <c r="I30">
        <v>37</v>
      </c>
      <c r="J30">
        <v>77</v>
      </c>
      <c r="K30">
        <v>5</v>
      </c>
      <c r="L30" t="s">
        <v>629</v>
      </c>
      <c r="M30" t="s">
        <v>630</v>
      </c>
      <c r="N30" t="s">
        <v>631</v>
      </c>
      <c r="O30" s="24" t="s">
        <v>504</v>
      </c>
      <c r="P30">
        <v>767</v>
      </c>
      <c r="T30" s="11">
        <v>-0.05</v>
      </c>
      <c r="V30">
        <v>17</v>
      </c>
      <c r="W30">
        <v>2</v>
      </c>
    </row>
    <row r="31" spans="1:24" x14ac:dyDescent="0.25">
      <c r="A31" t="s">
        <v>632</v>
      </c>
      <c r="B31" s="5">
        <v>45399</v>
      </c>
      <c r="C31" t="s">
        <v>207</v>
      </c>
      <c r="D31" t="s">
        <v>633</v>
      </c>
      <c r="E31" t="s">
        <v>482</v>
      </c>
      <c r="F31">
        <v>17</v>
      </c>
      <c r="G31">
        <v>2</v>
      </c>
      <c r="H31">
        <v>0</v>
      </c>
      <c r="I31">
        <v>0</v>
      </c>
      <c r="J31">
        <v>1</v>
      </c>
      <c r="K31">
        <v>0</v>
      </c>
      <c r="L31" t="s">
        <v>634</v>
      </c>
      <c r="M31" t="s">
        <v>573</v>
      </c>
      <c r="N31" t="s">
        <v>556</v>
      </c>
      <c r="O31" s="24" t="s">
        <v>528</v>
      </c>
      <c r="P31">
        <v>4</v>
      </c>
      <c r="Q31" s="11">
        <v>0.25</v>
      </c>
      <c r="R31">
        <v>15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D1CFC-E39A-49E7-8D80-A18560711B67}">
  <sheetPr codeName="Sheet5"/>
  <dimension ref="A1:AH5"/>
  <sheetViews>
    <sheetView workbookViewId="0"/>
  </sheetViews>
  <sheetFormatPr defaultRowHeight="15" x14ac:dyDescent="0.25"/>
  <cols>
    <col min="1" max="1" width="23.42578125" bestFit="1" customWidth="1"/>
    <col min="3" max="3" width="10.85546875" customWidth="1"/>
    <col min="4" max="4" width="9.140625" customWidth="1"/>
    <col min="5" max="5" width="7.85546875" bestFit="1" customWidth="1"/>
    <col min="6" max="6" width="4.42578125" customWidth="1"/>
    <col min="7" max="7" width="7.42578125" customWidth="1"/>
    <col min="8" max="8" width="7.140625" customWidth="1"/>
    <col min="9" max="11" width="6.7109375" bestFit="1" customWidth="1"/>
    <col min="12" max="12" width="8.28515625" bestFit="1" customWidth="1"/>
    <col min="13" max="17" width="6.7109375" bestFit="1" customWidth="1"/>
    <col min="18" max="18" width="10.42578125" bestFit="1" customWidth="1"/>
    <col min="19" max="20" width="7.140625" customWidth="1"/>
    <col min="21" max="21" width="6" bestFit="1" customWidth="1"/>
    <col min="22" max="22" width="6.7109375" bestFit="1" customWidth="1"/>
    <col min="23" max="27" width="6.7109375" customWidth="1"/>
    <col min="28" max="29" width="6.7109375" bestFit="1" customWidth="1"/>
    <col min="30" max="31" width="6.7109375" customWidth="1"/>
    <col min="32" max="33" width="6.7109375" bestFit="1" customWidth="1"/>
    <col min="34" max="34" width="6" bestFit="1" customWidth="1"/>
  </cols>
  <sheetData>
    <row r="1" spans="1:34" ht="145.5" customHeight="1" x14ac:dyDescent="0.25">
      <c r="A1" t="s">
        <v>0</v>
      </c>
      <c r="B1" t="s">
        <v>393</v>
      </c>
      <c r="C1" t="s">
        <v>399</v>
      </c>
      <c r="D1" t="s">
        <v>635</v>
      </c>
      <c r="E1" t="s">
        <v>636</v>
      </c>
      <c r="F1" t="s">
        <v>637</v>
      </c>
      <c r="G1" t="s">
        <v>638</v>
      </c>
      <c r="H1" t="s">
        <v>410</v>
      </c>
      <c r="I1" s="28" t="s">
        <v>639</v>
      </c>
      <c r="J1" s="28" t="s">
        <v>640</v>
      </c>
      <c r="K1" s="28" t="s">
        <v>641</v>
      </c>
      <c r="L1" s="28" t="s">
        <v>642</v>
      </c>
      <c r="M1" s="28" t="s">
        <v>643</v>
      </c>
      <c r="N1" s="28" t="s">
        <v>644</v>
      </c>
      <c r="O1" s="28" t="s">
        <v>645</v>
      </c>
      <c r="P1" s="28" t="s">
        <v>646</v>
      </c>
      <c r="Q1" s="28" t="s">
        <v>647</v>
      </c>
      <c r="R1" s="28" t="s">
        <v>648</v>
      </c>
      <c r="S1" s="28" t="s">
        <v>649</v>
      </c>
      <c r="T1" s="28" t="s">
        <v>650</v>
      </c>
      <c r="U1" s="28" t="s">
        <v>651</v>
      </c>
      <c r="V1" s="28" t="s">
        <v>652</v>
      </c>
      <c r="W1" s="28" t="s">
        <v>653</v>
      </c>
      <c r="X1" s="28" t="s">
        <v>654</v>
      </c>
      <c r="Y1" s="28" t="s">
        <v>655</v>
      </c>
      <c r="Z1" s="28" t="s">
        <v>656</v>
      </c>
      <c r="AA1" s="28" t="s">
        <v>657</v>
      </c>
      <c r="AB1" s="28" t="s">
        <v>658</v>
      </c>
      <c r="AC1" s="28" t="s">
        <v>659</v>
      </c>
      <c r="AD1" s="28" t="s">
        <v>660</v>
      </c>
      <c r="AE1" s="28" t="s">
        <v>661</v>
      </c>
      <c r="AF1" s="28" t="s">
        <v>662</v>
      </c>
      <c r="AG1" s="28" t="s">
        <v>663</v>
      </c>
      <c r="AH1" s="28" t="s">
        <v>664</v>
      </c>
    </row>
    <row r="2" spans="1:34" x14ac:dyDescent="0.25">
      <c r="A2" t="s">
        <v>665</v>
      </c>
      <c r="B2" t="s">
        <v>267</v>
      </c>
      <c r="C2">
        <v>458.3</v>
      </c>
      <c r="D2">
        <v>456.6</v>
      </c>
      <c r="E2">
        <v>26</v>
      </c>
      <c r="F2">
        <v>30</v>
      </c>
      <c r="G2">
        <v>17</v>
      </c>
      <c r="H2">
        <v>3</v>
      </c>
      <c r="I2" t="s">
        <v>39</v>
      </c>
      <c r="J2" t="s">
        <v>666</v>
      </c>
      <c r="K2" t="s">
        <v>39</v>
      </c>
      <c r="L2" t="s">
        <v>667</v>
      </c>
      <c r="M2" t="s">
        <v>232</v>
      </c>
      <c r="N2" t="s">
        <v>267</v>
      </c>
      <c r="O2" t="s">
        <v>267</v>
      </c>
      <c r="P2" t="s">
        <v>39</v>
      </c>
      <c r="Q2" t="s">
        <v>208</v>
      </c>
      <c r="R2" t="s">
        <v>208</v>
      </c>
      <c r="AB2" t="s">
        <v>208</v>
      </c>
    </row>
    <row r="3" spans="1:34" x14ac:dyDescent="0.25">
      <c r="A3" t="s">
        <v>668</v>
      </c>
      <c r="B3" t="s">
        <v>267</v>
      </c>
      <c r="C3">
        <v>20046.099999999999</v>
      </c>
      <c r="D3">
        <v>496.9</v>
      </c>
      <c r="E3">
        <v>25</v>
      </c>
      <c r="F3">
        <v>30</v>
      </c>
      <c r="G3">
        <v>21</v>
      </c>
      <c r="H3">
        <v>3</v>
      </c>
      <c r="I3" t="s">
        <v>208</v>
      </c>
      <c r="J3" t="s">
        <v>462</v>
      </c>
      <c r="K3" t="s">
        <v>39</v>
      </c>
      <c r="L3" t="s">
        <v>669</v>
      </c>
      <c r="M3" t="s">
        <v>232</v>
      </c>
      <c r="N3" t="s">
        <v>267</v>
      </c>
      <c r="O3" t="s">
        <v>267</v>
      </c>
      <c r="P3" t="s">
        <v>39</v>
      </c>
      <c r="Q3" t="s">
        <v>39</v>
      </c>
      <c r="R3" t="s">
        <v>670</v>
      </c>
      <c r="V3" t="s">
        <v>267</v>
      </c>
      <c r="AB3" t="s">
        <v>39</v>
      </c>
      <c r="AC3" t="s">
        <v>669</v>
      </c>
      <c r="AF3" t="s">
        <v>39</v>
      </c>
      <c r="AG3" t="s">
        <v>232</v>
      </c>
    </row>
    <row r="4" spans="1:34" x14ac:dyDescent="0.25">
      <c r="A4" t="s">
        <v>671</v>
      </c>
      <c r="B4" t="s">
        <v>267</v>
      </c>
      <c r="C4">
        <v>4210.3999999999996</v>
      </c>
      <c r="D4">
        <v>310.7</v>
      </c>
      <c r="E4">
        <v>32</v>
      </c>
      <c r="F4">
        <v>60</v>
      </c>
      <c r="G4">
        <v>29</v>
      </c>
      <c r="H4">
        <v>2</v>
      </c>
      <c r="I4" t="s">
        <v>39</v>
      </c>
      <c r="J4" t="s">
        <v>672</v>
      </c>
      <c r="K4" t="s">
        <v>39</v>
      </c>
      <c r="L4" t="s">
        <v>673</v>
      </c>
      <c r="N4" t="s">
        <v>267</v>
      </c>
      <c r="P4" t="s">
        <v>39</v>
      </c>
      <c r="R4" t="s">
        <v>39</v>
      </c>
      <c r="S4" t="s">
        <v>39</v>
      </c>
      <c r="T4" t="s">
        <v>39</v>
      </c>
      <c r="U4" t="s">
        <v>674</v>
      </c>
      <c r="V4" t="s">
        <v>267</v>
      </c>
      <c r="W4" t="s">
        <v>39</v>
      </c>
      <c r="X4" t="s">
        <v>675</v>
      </c>
      <c r="Y4" t="s">
        <v>39</v>
      </c>
      <c r="Z4" t="s">
        <v>267</v>
      </c>
      <c r="AA4" t="s">
        <v>39</v>
      </c>
      <c r="AB4" t="s">
        <v>39</v>
      </c>
      <c r="AD4" t="s">
        <v>39</v>
      </c>
      <c r="AH4" t="s">
        <v>39</v>
      </c>
    </row>
    <row r="5" spans="1:34" x14ac:dyDescent="0.25">
      <c r="A5" t="s">
        <v>676</v>
      </c>
      <c r="B5" t="s">
        <v>232</v>
      </c>
      <c r="C5">
        <v>3001.3</v>
      </c>
      <c r="D5">
        <v>238.3</v>
      </c>
      <c r="E5">
        <v>30</v>
      </c>
      <c r="F5">
        <v>30</v>
      </c>
      <c r="G5">
        <v>12</v>
      </c>
      <c r="H5">
        <v>3</v>
      </c>
      <c r="I5" t="s">
        <v>208</v>
      </c>
      <c r="J5" t="s">
        <v>457</v>
      </c>
      <c r="K5" t="s">
        <v>39</v>
      </c>
      <c r="M5" t="s">
        <v>232</v>
      </c>
      <c r="S5" t="s">
        <v>39</v>
      </c>
      <c r="T5" t="s">
        <v>208</v>
      </c>
      <c r="U5" t="s">
        <v>669</v>
      </c>
      <c r="AD5" t="s">
        <v>39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29F27-902B-4B86-AE5A-D6377E59893B}">
  <sheetPr codeName="Sheet6"/>
  <dimension ref="A1:W6"/>
  <sheetViews>
    <sheetView workbookViewId="0"/>
  </sheetViews>
  <sheetFormatPr defaultRowHeight="15" x14ac:dyDescent="0.25"/>
  <cols>
    <col min="7" max="23" width="6" bestFit="1" customWidth="1"/>
  </cols>
  <sheetData>
    <row r="1" spans="1:23" ht="230.25" customHeight="1" x14ac:dyDescent="0.25">
      <c r="A1" t="s">
        <v>0</v>
      </c>
      <c r="B1" s="29" t="s">
        <v>677</v>
      </c>
      <c r="C1" s="29" t="s">
        <v>678</v>
      </c>
      <c r="D1" s="29" t="s">
        <v>679</v>
      </c>
      <c r="E1" s="29" t="s">
        <v>397</v>
      </c>
      <c r="F1" s="29" t="s">
        <v>680</v>
      </c>
      <c r="G1" s="29" t="s">
        <v>681</v>
      </c>
      <c r="H1" s="29" t="s">
        <v>682</v>
      </c>
      <c r="I1" s="29" t="s">
        <v>683</v>
      </c>
      <c r="J1" s="29" t="s">
        <v>684</v>
      </c>
      <c r="K1" s="29" t="s">
        <v>685</v>
      </c>
      <c r="L1" s="29" t="s">
        <v>686</v>
      </c>
      <c r="M1" s="29" t="s">
        <v>687</v>
      </c>
      <c r="N1" s="29" t="s">
        <v>688</v>
      </c>
      <c r="O1" s="29" t="s">
        <v>689</v>
      </c>
      <c r="P1" s="29" t="s">
        <v>690</v>
      </c>
      <c r="Q1" s="29" t="s">
        <v>644</v>
      </c>
      <c r="R1" s="29" t="s">
        <v>691</v>
      </c>
      <c r="S1" s="29" t="s">
        <v>692</v>
      </c>
      <c r="T1" s="30" t="s">
        <v>693</v>
      </c>
      <c r="U1" s="30" t="s">
        <v>694</v>
      </c>
      <c r="V1" s="30" t="s">
        <v>695</v>
      </c>
      <c r="W1" s="30" t="s">
        <v>696</v>
      </c>
    </row>
    <row r="2" spans="1:23" x14ac:dyDescent="0.25">
      <c r="A2" t="s">
        <v>697</v>
      </c>
      <c r="B2">
        <v>28</v>
      </c>
      <c r="C2">
        <v>30</v>
      </c>
      <c r="D2">
        <v>22</v>
      </c>
      <c r="E2">
        <v>41</v>
      </c>
      <c r="F2">
        <v>50</v>
      </c>
      <c r="G2" t="s">
        <v>39</v>
      </c>
      <c r="H2">
        <v>2</v>
      </c>
      <c r="I2" t="s">
        <v>698</v>
      </c>
      <c r="J2">
        <v>2</v>
      </c>
      <c r="K2" t="s">
        <v>699</v>
      </c>
      <c r="L2">
        <v>2</v>
      </c>
      <c r="M2" t="s">
        <v>458</v>
      </c>
      <c r="N2" t="s">
        <v>39</v>
      </c>
      <c r="O2">
        <v>1</v>
      </c>
      <c r="P2" t="s">
        <v>207</v>
      </c>
      <c r="Q2" t="s">
        <v>267</v>
      </c>
      <c r="R2">
        <v>2</v>
      </c>
      <c r="S2" t="s">
        <v>459</v>
      </c>
      <c r="T2" t="s">
        <v>39</v>
      </c>
      <c r="U2" t="s">
        <v>39</v>
      </c>
      <c r="V2" t="s">
        <v>39</v>
      </c>
      <c r="W2" t="s">
        <v>39</v>
      </c>
    </row>
    <row r="3" spans="1:23" x14ac:dyDescent="0.25">
      <c r="A3" t="s">
        <v>700</v>
      </c>
      <c r="B3">
        <v>28</v>
      </c>
      <c r="C3">
        <v>30</v>
      </c>
      <c r="D3">
        <v>21</v>
      </c>
      <c r="J3">
        <v>4</v>
      </c>
      <c r="K3" t="s">
        <v>701</v>
      </c>
      <c r="N3" t="s">
        <v>39</v>
      </c>
      <c r="O3">
        <v>2</v>
      </c>
      <c r="P3" t="s">
        <v>459</v>
      </c>
      <c r="Q3" t="s">
        <v>267</v>
      </c>
      <c r="R3">
        <v>2</v>
      </c>
      <c r="S3" t="s">
        <v>702</v>
      </c>
    </row>
    <row r="4" spans="1:23" x14ac:dyDescent="0.25">
      <c r="A4" t="s">
        <v>703</v>
      </c>
      <c r="B4">
        <v>26</v>
      </c>
      <c r="C4">
        <v>30</v>
      </c>
      <c r="D4">
        <v>13</v>
      </c>
      <c r="E4">
        <v>30</v>
      </c>
      <c r="F4">
        <v>35</v>
      </c>
      <c r="G4" t="s">
        <v>39</v>
      </c>
      <c r="H4">
        <v>1</v>
      </c>
      <c r="I4" t="s">
        <v>207</v>
      </c>
      <c r="L4">
        <v>2</v>
      </c>
      <c r="M4" t="s">
        <v>458</v>
      </c>
      <c r="Q4" t="s">
        <v>267</v>
      </c>
      <c r="T4" t="s">
        <v>39</v>
      </c>
      <c r="W4" t="s">
        <v>39</v>
      </c>
    </row>
    <row r="5" spans="1:23" x14ac:dyDescent="0.25">
      <c r="A5" t="s">
        <v>704</v>
      </c>
      <c r="B5">
        <v>30</v>
      </c>
      <c r="C5">
        <v>30</v>
      </c>
      <c r="D5">
        <v>14</v>
      </c>
      <c r="E5">
        <v>50</v>
      </c>
      <c r="F5">
        <v>50</v>
      </c>
      <c r="G5" t="s">
        <v>39</v>
      </c>
      <c r="L5">
        <v>2</v>
      </c>
      <c r="M5" t="s">
        <v>458</v>
      </c>
      <c r="N5" t="s">
        <v>39</v>
      </c>
      <c r="Q5" t="s">
        <v>267</v>
      </c>
      <c r="T5" t="s">
        <v>39</v>
      </c>
      <c r="U5" t="s">
        <v>39</v>
      </c>
      <c r="V5" t="s">
        <v>39</v>
      </c>
      <c r="W5" t="s">
        <v>39</v>
      </c>
    </row>
    <row r="6" spans="1:23" x14ac:dyDescent="0.25">
      <c r="A6" t="s">
        <v>705</v>
      </c>
      <c r="B6">
        <v>26</v>
      </c>
      <c r="C6">
        <v>30</v>
      </c>
      <c r="D6">
        <v>15</v>
      </c>
      <c r="E6">
        <v>30</v>
      </c>
      <c r="F6">
        <v>35</v>
      </c>
      <c r="G6" t="s">
        <v>39</v>
      </c>
      <c r="H6">
        <v>2</v>
      </c>
      <c r="I6" t="s">
        <v>456</v>
      </c>
      <c r="J6">
        <v>1</v>
      </c>
      <c r="K6" t="s">
        <v>232</v>
      </c>
      <c r="L6">
        <v>1</v>
      </c>
      <c r="M6" t="s">
        <v>458</v>
      </c>
      <c r="N6" t="s">
        <v>706</v>
      </c>
      <c r="O6" t="s">
        <v>706</v>
      </c>
      <c r="P6" t="s">
        <v>706</v>
      </c>
      <c r="Q6" t="s">
        <v>267</v>
      </c>
      <c r="R6">
        <v>1</v>
      </c>
      <c r="S6" t="s">
        <v>232</v>
      </c>
      <c r="T6" t="s">
        <v>39</v>
      </c>
      <c r="U6" s="25" t="s">
        <v>39</v>
      </c>
      <c r="V6" t="s">
        <v>39</v>
      </c>
      <c r="W6" t="s">
        <v>39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36378-C708-4DCF-941D-DC346B4DF679}">
  <sheetPr codeName="Sheet7"/>
  <dimension ref="A1:F104"/>
  <sheetViews>
    <sheetView workbookViewId="0"/>
  </sheetViews>
  <sheetFormatPr defaultRowHeight="15" x14ac:dyDescent="0.25"/>
  <cols>
    <col min="1" max="1" width="20.5703125" customWidth="1"/>
    <col min="2" max="2" width="12.140625" bestFit="1" customWidth="1"/>
    <col min="3" max="3" width="10.7109375" customWidth="1"/>
    <col min="4" max="4" width="19.140625" bestFit="1" customWidth="1"/>
    <col min="5" max="5" width="10.28515625" bestFit="1" customWidth="1"/>
    <col min="6" max="6" width="12.28515625" bestFit="1" customWidth="1"/>
  </cols>
  <sheetData>
    <row r="1" spans="1:6" x14ac:dyDescent="0.25">
      <c r="A1" t="s">
        <v>707</v>
      </c>
      <c r="B1" t="s">
        <v>708</v>
      </c>
      <c r="C1" t="s">
        <v>709</v>
      </c>
      <c r="D1" t="s">
        <v>390</v>
      </c>
      <c r="E1" t="s">
        <v>710</v>
      </c>
      <c r="F1" t="s">
        <v>711</v>
      </c>
    </row>
    <row r="2" spans="1:6" x14ac:dyDescent="0.25">
      <c r="A2" t="s">
        <v>712</v>
      </c>
      <c r="E2">
        <v>1</v>
      </c>
    </row>
    <row r="3" spans="1:6" x14ac:dyDescent="0.25">
      <c r="A3" t="s">
        <v>713</v>
      </c>
      <c r="E3">
        <v>12424</v>
      </c>
    </row>
    <row r="4" spans="1:6" x14ac:dyDescent="0.25">
      <c r="A4" t="s">
        <v>181</v>
      </c>
      <c r="E4">
        <v>11306</v>
      </c>
    </row>
    <row r="5" spans="1:6" x14ac:dyDescent="0.25">
      <c r="A5" t="s">
        <v>714</v>
      </c>
      <c r="E5">
        <v>12800</v>
      </c>
    </row>
    <row r="6" spans="1:6" x14ac:dyDescent="0.25">
      <c r="A6" t="s">
        <v>715</v>
      </c>
      <c r="E6">
        <v>16733</v>
      </c>
    </row>
    <row r="7" spans="1:6" x14ac:dyDescent="0.25">
      <c r="A7" t="s">
        <v>716</v>
      </c>
      <c r="E7">
        <v>3</v>
      </c>
    </row>
    <row r="8" spans="1:6" x14ac:dyDescent="0.25">
      <c r="A8" t="s">
        <v>182</v>
      </c>
      <c r="D8" t="s">
        <v>717</v>
      </c>
      <c r="E8">
        <v>1858</v>
      </c>
    </row>
    <row r="9" spans="1:6" x14ac:dyDescent="0.25">
      <c r="A9" t="s">
        <v>718</v>
      </c>
      <c r="E9">
        <v>22</v>
      </c>
    </row>
    <row r="10" spans="1:6" x14ac:dyDescent="0.25">
      <c r="A10" t="s">
        <v>719</v>
      </c>
      <c r="E10">
        <v>7</v>
      </c>
    </row>
    <row r="11" spans="1:6" x14ac:dyDescent="0.25">
      <c r="A11" t="s">
        <v>720</v>
      </c>
      <c r="D11" t="s">
        <v>717</v>
      </c>
      <c r="E11">
        <v>17</v>
      </c>
    </row>
    <row r="12" spans="1:6" x14ac:dyDescent="0.25">
      <c r="A12" t="s">
        <v>721</v>
      </c>
      <c r="E12">
        <v>3946</v>
      </c>
    </row>
    <row r="13" spans="1:6" x14ac:dyDescent="0.25">
      <c r="A13" t="s">
        <v>722</v>
      </c>
      <c r="E13">
        <v>491</v>
      </c>
    </row>
    <row r="14" spans="1:6" x14ac:dyDescent="0.25">
      <c r="A14" t="s">
        <v>184</v>
      </c>
      <c r="D14" t="s">
        <v>717</v>
      </c>
      <c r="E14">
        <v>3790</v>
      </c>
    </row>
    <row r="15" spans="1:6" x14ac:dyDescent="0.25">
      <c r="A15" t="s">
        <v>185</v>
      </c>
      <c r="E15">
        <v>1053</v>
      </c>
    </row>
    <row r="16" spans="1:6" x14ac:dyDescent="0.25">
      <c r="A16" t="s">
        <v>723</v>
      </c>
      <c r="D16" t="s">
        <v>717</v>
      </c>
      <c r="E16">
        <v>1926</v>
      </c>
    </row>
    <row r="17" spans="1:5" x14ac:dyDescent="0.25">
      <c r="A17" t="s">
        <v>724</v>
      </c>
      <c r="D17" t="s">
        <v>717</v>
      </c>
      <c r="E17">
        <v>1</v>
      </c>
    </row>
    <row r="18" spans="1:5" x14ac:dyDescent="0.25">
      <c r="A18" t="s">
        <v>725</v>
      </c>
      <c r="D18" t="s">
        <v>717</v>
      </c>
      <c r="E18">
        <v>6476</v>
      </c>
    </row>
    <row r="19" spans="1:5" x14ac:dyDescent="0.25">
      <c r="A19" t="s">
        <v>726</v>
      </c>
      <c r="D19" t="s">
        <v>717</v>
      </c>
      <c r="E19">
        <v>18593</v>
      </c>
    </row>
    <row r="20" spans="1:5" x14ac:dyDescent="0.25">
      <c r="A20" t="s">
        <v>727</v>
      </c>
      <c r="E20">
        <v>0</v>
      </c>
    </row>
    <row r="21" spans="1:5" x14ac:dyDescent="0.25">
      <c r="A21" t="s">
        <v>186</v>
      </c>
      <c r="D21" t="s">
        <v>717</v>
      </c>
      <c r="E21">
        <v>10347</v>
      </c>
    </row>
    <row r="22" spans="1:5" x14ac:dyDescent="0.25">
      <c r="A22" t="s">
        <v>728</v>
      </c>
      <c r="D22" t="s">
        <v>717</v>
      </c>
      <c r="E22">
        <v>4281</v>
      </c>
    </row>
    <row r="23" spans="1:5" x14ac:dyDescent="0.25">
      <c r="A23" t="s">
        <v>187</v>
      </c>
      <c r="D23" t="s">
        <v>717</v>
      </c>
      <c r="E23">
        <v>9471</v>
      </c>
    </row>
    <row r="24" spans="1:5" x14ac:dyDescent="0.25">
      <c r="A24" t="s">
        <v>729</v>
      </c>
      <c r="E24">
        <v>0</v>
      </c>
    </row>
    <row r="25" spans="1:5" x14ac:dyDescent="0.25">
      <c r="A25" t="s">
        <v>730</v>
      </c>
      <c r="E25">
        <v>21</v>
      </c>
    </row>
    <row r="26" spans="1:5" x14ac:dyDescent="0.25">
      <c r="A26" t="s">
        <v>731</v>
      </c>
      <c r="E26">
        <v>0</v>
      </c>
    </row>
    <row r="27" spans="1:5" x14ac:dyDescent="0.25">
      <c r="A27" t="s">
        <v>732</v>
      </c>
      <c r="E27">
        <v>4</v>
      </c>
    </row>
    <row r="28" spans="1:5" x14ac:dyDescent="0.25">
      <c r="A28" t="s">
        <v>733</v>
      </c>
      <c r="D28" t="s">
        <v>717</v>
      </c>
      <c r="E28">
        <v>6640</v>
      </c>
    </row>
    <row r="29" spans="1:5" x14ac:dyDescent="0.25">
      <c r="A29" t="s">
        <v>734</v>
      </c>
      <c r="E29">
        <v>24</v>
      </c>
    </row>
    <row r="30" spans="1:5" x14ac:dyDescent="0.25">
      <c r="A30" t="s">
        <v>735</v>
      </c>
      <c r="D30" t="s">
        <v>717</v>
      </c>
      <c r="E30">
        <v>5543</v>
      </c>
    </row>
    <row r="31" spans="1:5" x14ac:dyDescent="0.25">
      <c r="A31" t="s">
        <v>736</v>
      </c>
      <c r="E31">
        <v>2</v>
      </c>
    </row>
    <row r="32" spans="1:5" x14ac:dyDescent="0.25">
      <c r="A32" t="s">
        <v>188</v>
      </c>
      <c r="D32" t="s">
        <v>717</v>
      </c>
      <c r="E32">
        <v>1733</v>
      </c>
    </row>
    <row r="33" spans="1:5" x14ac:dyDescent="0.25">
      <c r="A33" t="s">
        <v>737</v>
      </c>
      <c r="D33" t="s">
        <v>717</v>
      </c>
      <c r="E33">
        <v>9</v>
      </c>
    </row>
    <row r="34" spans="1:5" x14ac:dyDescent="0.25">
      <c r="A34" t="s">
        <v>738</v>
      </c>
      <c r="E34">
        <v>1486</v>
      </c>
    </row>
    <row r="35" spans="1:5" x14ac:dyDescent="0.25">
      <c r="A35" t="s">
        <v>739</v>
      </c>
      <c r="E35">
        <v>94</v>
      </c>
    </row>
    <row r="36" spans="1:5" x14ac:dyDescent="0.25">
      <c r="A36" t="s">
        <v>740</v>
      </c>
      <c r="B36" t="s">
        <v>741</v>
      </c>
      <c r="C36" t="s">
        <v>742</v>
      </c>
      <c r="D36" t="s">
        <v>717</v>
      </c>
      <c r="E36">
        <v>65932</v>
      </c>
    </row>
    <row r="37" spans="1:5" x14ac:dyDescent="0.25">
      <c r="A37" t="s">
        <v>743</v>
      </c>
      <c r="D37" t="s">
        <v>717</v>
      </c>
      <c r="E37">
        <v>7926</v>
      </c>
    </row>
    <row r="38" spans="1:5" x14ac:dyDescent="0.25">
      <c r="A38" t="s">
        <v>744</v>
      </c>
      <c r="E38">
        <v>1</v>
      </c>
    </row>
    <row r="39" spans="1:5" x14ac:dyDescent="0.25">
      <c r="A39" t="s">
        <v>745</v>
      </c>
      <c r="E39">
        <v>12</v>
      </c>
    </row>
    <row r="40" spans="1:5" x14ac:dyDescent="0.25">
      <c r="A40" t="s">
        <v>746</v>
      </c>
      <c r="E40">
        <v>1</v>
      </c>
    </row>
    <row r="41" spans="1:5" x14ac:dyDescent="0.25">
      <c r="A41" t="s">
        <v>189</v>
      </c>
      <c r="D41" t="s">
        <v>717</v>
      </c>
      <c r="E41">
        <v>3049</v>
      </c>
    </row>
    <row r="42" spans="1:5" x14ac:dyDescent="0.25">
      <c r="A42" t="s">
        <v>190</v>
      </c>
      <c r="D42" t="s">
        <v>717</v>
      </c>
      <c r="E42">
        <v>43493</v>
      </c>
    </row>
    <row r="43" spans="1:5" x14ac:dyDescent="0.25">
      <c r="A43" t="s">
        <v>747</v>
      </c>
      <c r="E43">
        <v>21</v>
      </c>
    </row>
    <row r="44" spans="1:5" x14ac:dyDescent="0.25">
      <c r="A44" t="s">
        <v>748</v>
      </c>
      <c r="E44">
        <v>0</v>
      </c>
    </row>
    <row r="45" spans="1:5" x14ac:dyDescent="0.25">
      <c r="A45" t="s">
        <v>749</v>
      </c>
      <c r="E45">
        <v>15499</v>
      </c>
    </row>
    <row r="46" spans="1:5" x14ac:dyDescent="0.25">
      <c r="A46" t="s">
        <v>750</v>
      </c>
      <c r="D46" t="s">
        <v>717</v>
      </c>
      <c r="E46">
        <v>43</v>
      </c>
    </row>
    <row r="47" spans="1:5" x14ac:dyDescent="0.25">
      <c r="A47" t="s">
        <v>751</v>
      </c>
      <c r="D47" t="s">
        <v>717</v>
      </c>
      <c r="E47">
        <v>974</v>
      </c>
    </row>
    <row r="48" spans="1:5" x14ac:dyDescent="0.25">
      <c r="A48" t="s">
        <v>752</v>
      </c>
      <c r="D48" t="s">
        <v>717</v>
      </c>
      <c r="E48">
        <v>4286</v>
      </c>
    </row>
    <row r="49" spans="1:5" x14ac:dyDescent="0.25">
      <c r="A49" t="s">
        <v>753</v>
      </c>
      <c r="E49">
        <v>73</v>
      </c>
    </row>
    <row r="50" spans="1:5" x14ac:dyDescent="0.25">
      <c r="A50" t="s">
        <v>754</v>
      </c>
      <c r="E50">
        <v>2</v>
      </c>
    </row>
    <row r="51" spans="1:5" x14ac:dyDescent="0.25">
      <c r="A51" t="s">
        <v>755</v>
      </c>
      <c r="D51" t="s">
        <v>717</v>
      </c>
      <c r="E51">
        <v>5</v>
      </c>
    </row>
    <row r="52" spans="1:5" x14ac:dyDescent="0.25">
      <c r="A52" t="s">
        <v>756</v>
      </c>
      <c r="E52">
        <v>44</v>
      </c>
    </row>
    <row r="53" spans="1:5" x14ac:dyDescent="0.25">
      <c r="A53" t="s">
        <v>757</v>
      </c>
      <c r="E53">
        <v>10562</v>
      </c>
    </row>
    <row r="54" spans="1:5" x14ac:dyDescent="0.25">
      <c r="A54" t="s">
        <v>758</v>
      </c>
      <c r="E54">
        <v>42</v>
      </c>
    </row>
    <row r="55" spans="1:5" x14ac:dyDescent="0.25">
      <c r="A55" t="s">
        <v>759</v>
      </c>
      <c r="D55" t="s">
        <v>717</v>
      </c>
      <c r="E55">
        <v>2836</v>
      </c>
    </row>
    <row r="56" spans="1:5" x14ac:dyDescent="0.25">
      <c r="A56" t="s">
        <v>760</v>
      </c>
      <c r="D56" t="s">
        <v>717</v>
      </c>
      <c r="E56">
        <v>59</v>
      </c>
    </row>
    <row r="57" spans="1:5" x14ac:dyDescent="0.25">
      <c r="A57" t="s">
        <v>761</v>
      </c>
      <c r="D57" t="s">
        <v>717</v>
      </c>
      <c r="E57">
        <v>1051</v>
      </c>
    </row>
    <row r="58" spans="1:5" x14ac:dyDescent="0.25">
      <c r="A58" t="s">
        <v>762</v>
      </c>
      <c r="E58">
        <v>60</v>
      </c>
    </row>
    <row r="59" spans="1:5" x14ac:dyDescent="0.25">
      <c r="A59" t="s">
        <v>763</v>
      </c>
      <c r="E59">
        <v>1</v>
      </c>
    </row>
    <row r="60" spans="1:5" x14ac:dyDescent="0.25">
      <c r="A60" t="s">
        <v>764</v>
      </c>
      <c r="E60">
        <v>0</v>
      </c>
    </row>
    <row r="61" spans="1:5" x14ac:dyDescent="0.25">
      <c r="A61" t="s">
        <v>765</v>
      </c>
      <c r="E61">
        <v>4</v>
      </c>
    </row>
    <row r="62" spans="1:5" x14ac:dyDescent="0.25">
      <c r="A62" t="s">
        <v>766</v>
      </c>
      <c r="E62">
        <v>0</v>
      </c>
    </row>
    <row r="63" spans="1:5" x14ac:dyDescent="0.25">
      <c r="A63" t="s">
        <v>191</v>
      </c>
      <c r="D63" t="s">
        <v>717</v>
      </c>
      <c r="E63">
        <v>3084</v>
      </c>
    </row>
    <row r="64" spans="1:5" x14ac:dyDescent="0.25">
      <c r="A64" t="s">
        <v>767</v>
      </c>
      <c r="E64">
        <v>66</v>
      </c>
    </row>
    <row r="65" spans="1:5" x14ac:dyDescent="0.25">
      <c r="A65" t="s">
        <v>768</v>
      </c>
      <c r="D65" t="s">
        <v>717</v>
      </c>
      <c r="E65">
        <v>300</v>
      </c>
    </row>
    <row r="66" spans="1:5" x14ac:dyDescent="0.25">
      <c r="A66" t="s">
        <v>769</v>
      </c>
      <c r="E66">
        <v>106</v>
      </c>
    </row>
    <row r="67" spans="1:5" x14ac:dyDescent="0.25">
      <c r="A67" t="s">
        <v>770</v>
      </c>
      <c r="E67">
        <v>19</v>
      </c>
    </row>
    <row r="68" spans="1:5" x14ac:dyDescent="0.25">
      <c r="A68" t="s">
        <v>771</v>
      </c>
      <c r="D68" t="s">
        <v>717</v>
      </c>
      <c r="E68">
        <v>12931</v>
      </c>
    </row>
    <row r="69" spans="1:5" x14ac:dyDescent="0.25">
      <c r="A69" t="s">
        <v>323</v>
      </c>
      <c r="E69">
        <v>1819</v>
      </c>
    </row>
    <row r="70" spans="1:5" x14ac:dyDescent="0.25">
      <c r="A70" t="s">
        <v>772</v>
      </c>
      <c r="E70">
        <v>44</v>
      </c>
    </row>
    <row r="71" spans="1:5" x14ac:dyDescent="0.25">
      <c r="A71" t="s">
        <v>773</v>
      </c>
      <c r="E71">
        <v>23</v>
      </c>
    </row>
    <row r="72" spans="1:5" x14ac:dyDescent="0.25">
      <c r="A72" t="s">
        <v>209</v>
      </c>
      <c r="D72" t="s">
        <v>717</v>
      </c>
      <c r="E72">
        <v>9872</v>
      </c>
    </row>
    <row r="73" spans="1:5" x14ac:dyDescent="0.25">
      <c r="A73" t="s">
        <v>192</v>
      </c>
      <c r="D73" t="s">
        <v>717</v>
      </c>
      <c r="E73">
        <v>8665</v>
      </c>
    </row>
    <row r="74" spans="1:5" x14ac:dyDescent="0.25">
      <c r="A74" t="s">
        <v>193</v>
      </c>
      <c r="D74" t="s">
        <v>717</v>
      </c>
      <c r="E74">
        <v>4470</v>
      </c>
    </row>
    <row r="75" spans="1:5" x14ac:dyDescent="0.25">
      <c r="A75" t="s">
        <v>774</v>
      </c>
      <c r="D75" t="s">
        <v>717</v>
      </c>
      <c r="E75">
        <v>9743</v>
      </c>
    </row>
    <row r="76" spans="1:5" x14ac:dyDescent="0.25">
      <c r="A76" t="s">
        <v>775</v>
      </c>
      <c r="E76">
        <v>0</v>
      </c>
    </row>
    <row r="77" spans="1:5" x14ac:dyDescent="0.25">
      <c r="A77" t="s">
        <v>776</v>
      </c>
      <c r="E77">
        <v>0</v>
      </c>
    </row>
    <row r="78" spans="1:5" x14ac:dyDescent="0.25">
      <c r="A78" t="s">
        <v>777</v>
      </c>
      <c r="D78" t="s">
        <v>717</v>
      </c>
      <c r="E78">
        <v>4839</v>
      </c>
    </row>
    <row r="79" spans="1:5" x14ac:dyDescent="0.25">
      <c r="A79" t="s">
        <v>778</v>
      </c>
      <c r="D79" t="s">
        <v>717</v>
      </c>
      <c r="E79">
        <v>1356</v>
      </c>
    </row>
    <row r="80" spans="1:5" x14ac:dyDescent="0.25">
      <c r="A80" t="s">
        <v>194</v>
      </c>
      <c r="D80" t="s">
        <v>717</v>
      </c>
      <c r="E80">
        <v>1416</v>
      </c>
    </row>
    <row r="81" spans="1:5" x14ac:dyDescent="0.25">
      <c r="A81" t="s">
        <v>779</v>
      </c>
      <c r="E81">
        <v>6</v>
      </c>
    </row>
    <row r="82" spans="1:5" x14ac:dyDescent="0.25">
      <c r="A82" t="s">
        <v>780</v>
      </c>
      <c r="E82">
        <v>3</v>
      </c>
    </row>
    <row r="83" spans="1:5" x14ac:dyDescent="0.25">
      <c r="A83" t="s">
        <v>781</v>
      </c>
      <c r="E83">
        <v>4291</v>
      </c>
    </row>
    <row r="84" spans="1:5" x14ac:dyDescent="0.25">
      <c r="A84" t="s">
        <v>195</v>
      </c>
      <c r="D84" t="s">
        <v>717</v>
      </c>
      <c r="E84">
        <v>15125</v>
      </c>
    </row>
    <row r="85" spans="1:5" x14ac:dyDescent="0.25">
      <c r="A85" t="s">
        <v>782</v>
      </c>
      <c r="E85">
        <v>54</v>
      </c>
    </row>
    <row r="86" spans="1:5" x14ac:dyDescent="0.25">
      <c r="A86" t="s">
        <v>783</v>
      </c>
      <c r="D86" t="s">
        <v>717</v>
      </c>
      <c r="E86">
        <v>18616</v>
      </c>
    </row>
    <row r="87" spans="1:5" x14ac:dyDescent="0.25">
      <c r="A87" t="s">
        <v>196</v>
      </c>
      <c r="D87" t="s">
        <v>717</v>
      </c>
      <c r="E87">
        <v>616165</v>
      </c>
    </row>
    <row r="88" spans="1:5" x14ac:dyDescent="0.25">
      <c r="A88" t="s">
        <v>197</v>
      </c>
      <c r="D88" t="s">
        <v>717</v>
      </c>
      <c r="E88">
        <v>11717</v>
      </c>
    </row>
    <row r="89" spans="1:5" x14ac:dyDescent="0.25">
      <c r="A89" t="s">
        <v>784</v>
      </c>
      <c r="D89" t="s">
        <v>717</v>
      </c>
      <c r="E89">
        <v>880</v>
      </c>
    </row>
    <row r="90" spans="1:5" x14ac:dyDescent="0.25">
      <c r="A90" t="s">
        <v>198</v>
      </c>
      <c r="D90" t="s">
        <v>717</v>
      </c>
      <c r="E90">
        <v>9166</v>
      </c>
    </row>
    <row r="91" spans="1:5" x14ac:dyDescent="0.25">
      <c r="A91" t="s">
        <v>785</v>
      </c>
      <c r="E91">
        <v>2</v>
      </c>
    </row>
    <row r="92" spans="1:5" x14ac:dyDescent="0.25">
      <c r="A92" t="s">
        <v>199</v>
      </c>
      <c r="D92" t="s">
        <v>717</v>
      </c>
      <c r="E92">
        <v>19168</v>
      </c>
    </row>
    <row r="93" spans="1:5" x14ac:dyDescent="0.25">
      <c r="A93" t="s">
        <v>786</v>
      </c>
      <c r="E93">
        <v>52</v>
      </c>
    </row>
    <row r="94" spans="1:5" x14ac:dyDescent="0.25">
      <c r="A94" t="s">
        <v>787</v>
      </c>
      <c r="E94">
        <v>37</v>
      </c>
    </row>
    <row r="95" spans="1:5" x14ac:dyDescent="0.25">
      <c r="A95" t="s">
        <v>788</v>
      </c>
      <c r="E95">
        <v>0</v>
      </c>
    </row>
    <row r="96" spans="1:5" x14ac:dyDescent="0.25">
      <c r="A96" t="s">
        <v>789</v>
      </c>
      <c r="D96" t="s">
        <v>717</v>
      </c>
      <c r="E96">
        <v>974</v>
      </c>
    </row>
    <row r="97" spans="1:5" x14ac:dyDescent="0.25">
      <c r="A97" t="s">
        <v>790</v>
      </c>
      <c r="E97">
        <v>1</v>
      </c>
    </row>
    <row r="98" spans="1:5" x14ac:dyDescent="0.25">
      <c r="A98" t="s">
        <v>791</v>
      </c>
      <c r="E98">
        <v>47</v>
      </c>
    </row>
    <row r="99" spans="1:5" x14ac:dyDescent="0.25">
      <c r="A99" t="s">
        <v>792</v>
      </c>
      <c r="D99" t="s">
        <v>717</v>
      </c>
      <c r="E99">
        <v>16709</v>
      </c>
    </row>
    <row r="100" spans="1:5" x14ac:dyDescent="0.25">
      <c r="A100" t="s">
        <v>793</v>
      </c>
      <c r="E100">
        <v>22</v>
      </c>
    </row>
    <row r="101" spans="1:5" x14ac:dyDescent="0.25">
      <c r="A101" t="s">
        <v>794</v>
      </c>
      <c r="E101">
        <v>1</v>
      </c>
    </row>
    <row r="102" spans="1:5" x14ac:dyDescent="0.25">
      <c r="A102" t="s">
        <v>795</v>
      </c>
      <c r="D102" t="s">
        <v>717</v>
      </c>
      <c r="E102">
        <v>2362</v>
      </c>
    </row>
    <row r="103" spans="1:5" x14ac:dyDescent="0.25">
      <c r="A103" t="s">
        <v>796</v>
      </c>
      <c r="E103">
        <v>5</v>
      </c>
    </row>
    <row r="104" spans="1:5" x14ac:dyDescent="0.25">
      <c r="A104" t="s">
        <v>797</v>
      </c>
      <c r="E104">
        <v>9</v>
      </c>
    </row>
  </sheetData>
  <conditionalFormatting sqref="E1:E1048576">
    <cfRule type="top10" dxfId="16" priority="1" percent="1" bottom="1" rank="60"/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2DA9C-A741-426D-8978-F49EA4F2E87A}">
  <sheetPr codeName="Sheet8"/>
  <dimension ref="A1:AI206"/>
  <sheetViews>
    <sheetView workbookViewId="0"/>
  </sheetViews>
  <sheetFormatPr defaultColWidth="20.28515625" defaultRowHeight="15" x14ac:dyDescent="0.25"/>
  <cols>
    <col min="1" max="1" width="31" style="113" bestFit="1" customWidth="1"/>
    <col min="2" max="2" width="6.7109375" style="113" customWidth="1"/>
    <col min="3" max="3" width="8.7109375" customWidth="1"/>
    <col min="4" max="4" width="12" bestFit="1" customWidth="1"/>
    <col min="5" max="5" width="7.7109375" customWidth="1"/>
    <col min="6" max="6" width="6.42578125" customWidth="1"/>
    <col min="7" max="7" width="6.28515625" customWidth="1"/>
    <col min="8" max="8" width="11.42578125" customWidth="1"/>
    <col min="9" max="9" width="8.28515625" style="24" customWidth="1"/>
    <col min="10" max="10" width="7.85546875" style="140" customWidth="1"/>
    <col min="11" max="11" width="19.5703125" customWidth="1"/>
    <col min="12" max="12" width="7.5703125" style="24" customWidth="1"/>
    <col min="13" max="13" width="7.140625" customWidth="1"/>
    <col min="14" max="14" width="12" style="31" customWidth="1"/>
    <col min="15" max="15" width="10.42578125" customWidth="1"/>
    <col min="16" max="16" width="9.140625" style="2" customWidth="1"/>
    <col min="17" max="17" width="9.140625" style="120" customWidth="1"/>
    <col min="18" max="18" width="21.42578125" bestFit="1" customWidth="1"/>
    <col min="19" max="19" width="10" style="24" customWidth="1"/>
    <col min="20" max="20" width="12" bestFit="1" customWidth="1"/>
    <col min="21" max="21" width="12" style="31" bestFit="1" customWidth="1"/>
    <col min="22" max="22" width="14.85546875" bestFit="1" customWidth="1"/>
    <col min="23" max="23" width="12" style="120" bestFit="1" customWidth="1"/>
    <col min="24" max="24" width="14.42578125" customWidth="1"/>
    <col min="25" max="25" width="7.5703125" style="24" customWidth="1"/>
    <col min="26" max="26" width="8.5703125" customWidth="1"/>
    <col min="27" max="27" width="9.7109375" customWidth="1"/>
    <col min="28" max="28" width="10.42578125" customWidth="1"/>
    <col min="29" max="29" width="13.42578125" style="121" customWidth="1"/>
    <col min="30" max="32" width="12" hidden="1" customWidth="1"/>
    <col min="33" max="35" width="17.7109375" hidden="1" customWidth="1"/>
    <col min="36" max="16384" width="20.28515625" style="44"/>
  </cols>
  <sheetData>
    <row r="1" spans="1:35" s="33" customFormat="1" ht="213" customHeight="1" x14ac:dyDescent="0.25">
      <c r="A1" s="124" t="s">
        <v>798</v>
      </c>
      <c r="B1" s="124" t="s">
        <v>799</v>
      </c>
      <c r="C1" s="123" t="s">
        <v>709</v>
      </c>
      <c r="D1" s="123" t="s">
        <v>800</v>
      </c>
      <c r="E1" s="123" t="s">
        <v>801</v>
      </c>
      <c r="F1" s="122" t="s">
        <v>802</v>
      </c>
      <c r="G1" s="125" t="s">
        <v>803</v>
      </c>
      <c r="H1" s="137" t="s">
        <v>804</v>
      </c>
      <c r="I1" s="126" t="s">
        <v>805</v>
      </c>
      <c r="J1" s="127" t="s">
        <v>806</v>
      </c>
      <c r="K1" s="123" t="s">
        <v>807</v>
      </c>
      <c r="L1" s="123" t="s">
        <v>808</v>
      </c>
      <c r="M1" s="128" t="s">
        <v>809</v>
      </c>
      <c r="N1" s="129" t="s">
        <v>810</v>
      </c>
      <c r="O1" s="126" t="s">
        <v>811</v>
      </c>
      <c r="P1" s="130" t="s">
        <v>812</v>
      </c>
      <c r="Q1" s="131" t="s">
        <v>813</v>
      </c>
      <c r="R1" s="123" t="s">
        <v>814</v>
      </c>
      <c r="S1" s="123" t="s">
        <v>815</v>
      </c>
      <c r="T1" s="132" t="s">
        <v>816</v>
      </c>
      <c r="U1" s="129" t="s">
        <v>817</v>
      </c>
      <c r="V1" s="126" t="s">
        <v>818</v>
      </c>
      <c r="W1" s="131" t="s">
        <v>819</v>
      </c>
      <c r="X1" s="123" t="s">
        <v>820</v>
      </c>
      <c r="Y1" s="123" t="s">
        <v>821</v>
      </c>
      <c r="Z1" s="132" t="s">
        <v>822</v>
      </c>
      <c r="AA1" s="129" t="s">
        <v>823</v>
      </c>
      <c r="AB1" s="133" t="s">
        <v>824</v>
      </c>
      <c r="AC1" s="134" t="s">
        <v>825</v>
      </c>
      <c r="AD1" s="135" t="s">
        <v>826</v>
      </c>
      <c r="AE1" s="136" t="s">
        <v>827</v>
      </c>
      <c r="AF1" s="136" t="s">
        <v>828</v>
      </c>
      <c r="AG1" s="123" t="s">
        <v>829</v>
      </c>
      <c r="AH1" s="123" t="s">
        <v>830</v>
      </c>
      <c r="AI1" s="123" t="s">
        <v>831</v>
      </c>
    </row>
    <row r="2" spans="1:35" x14ac:dyDescent="0.25">
      <c r="A2" s="113" t="s">
        <v>712</v>
      </c>
      <c r="C2" t="s">
        <v>832</v>
      </c>
      <c r="D2" t="s">
        <v>833</v>
      </c>
      <c r="F2" s="34">
        <v>1</v>
      </c>
      <c r="G2" s="35">
        <f t="shared" ref="G2:G3" si="0">MAX(AD2:AF2)</f>
        <v>1</v>
      </c>
      <c r="H2" s="36">
        <f t="shared" ref="H2:H3" si="1">ROUNDDOWN(MAX(AG2:AI2),0)</f>
        <v>72</v>
      </c>
      <c r="I2" s="37">
        <v>50</v>
      </c>
      <c r="J2" s="140">
        <v>2</v>
      </c>
      <c r="K2" t="s">
        <v>771</v>
      </c>
      <c r="L2" s="24">
        <v>25</v>
      </c>
      <c r="M2" s="38">
        <v>50</v>
      </c>
      <c r="N2" s="39">
        <f>INDEX(Inventory!E:E,MATCH(K2, Inventory!A:A),1)</f>
        <v>12931</v>
      </c>
      <c r="O2" s="40">
        <f t="shared" ref="O2:O3" si="2">I2/F2*L2</f>
        <v>1250</v>
      </c>
      <c r="P2" s="41">
        <f t="shared" ref="P2:P3" si="3">IF(ISBLANK(I2), 0, N2/O2)</f>
        <v>10.344799999999999</v>
      </c>
      <c r="Q2" s="41" cm="1">
        <f t="array" ref="Q2">MAX(IF($A:$A=$A2, $P:$P))</f>
        <v>10.344799999999999</v>
      </c>
      <c r="R2" s="113" t="s">
        <v>190</v>
      </c>
      <c r="S2" s="116">
        <v>600</v>
      </c>
      <c r="T2" s="117">
        <v>600</v>
      </c>
      <c r="U2" s="39">
        <f>IF(S2 &gt; 0,INDEX(Inventory!E:E,MATCH(R2, Inventory!A:A),1), "")</f>
        <v>43493</v>
      </c>
      <c r="V2" s="40">
        <f t="shared" ref="V2:V3" si="4">I2/F2*S2</f>
        <v>30000</v>
      </c>
      <c r="W2" s="41">
        <f t="shared" ref="W2:W3" si="5">IF(ISBLANK(I2),0,IF(ISBLANK(S2),0,U2/V2))</f>
        <v>1.4497666666666666</v>
      </c>
      <c r="Z2" s="38"/>
      <c r="AA2" s="39" t="str">
        <f>IF(Y2&gt;0, INDEX(Inventory!E:E,MATCH(X2, Inventory!A:A),1), "")</f>
        <v/>
      </c>
      <c r="AB2" s="42">
        <f t="shared" ref="AB2:AB3" si="6">I2/F2*Y2</f>
        <v>0</v>
      </c>
      <c r="AC2" s="41">
        <f t="shared" ref="AC2:AC3" si="7">IF(ISBLANK(I2), 0, IF(ISBLANK(Y2), 0, AA2/AB2))</f>
        <v>0</v>
      </c>
      <c r="AD2" s="114">
        <f t="shared" ref="AD2:AD3" si="8">IF(J2=1, M2/L2*F2, 0)</f>
        <v>0</v>
      </c>
      <c r="AE2" s="7">
        <f t="shared" ref="AE2:AE3" si="9">IF(J2=2, MIN(M2/L2, T2/S2)* F2,0)</f>
        <v>1</v>
      </c>
      <c r="AF2" s="7">
        <f t="shared" ref="AF2:AF3" si="10">IF(J2=3, MIN(M2/L2, T2/S2, Z2/Y2) * F2, 0)</f>
        <v>0</v>
      </c>
      <c r="AG2" s="43">
        <f t="shared" ref="AG2:AG3" si="11">IF(J2=1, N2/L2*F2, 0)</f>
        <v>0</v>
      </c>
      <c r="AH2" s="43">
        <f t="shared" ref="AH2:AH3" si="12">IF(J2=2,MIN(N2/L2, U2/S2)* F2,0)</f>
        <v>72.48833333333333</v>
      </c>
      <c r="AI2" s="43">
        <f t="shared" ref="AI2:AI3" si="13">IF(J2=3, MIN(N2/L2, U2/S2, AA2/Y2) * F2, 0)</f>
        <v>0</v>
      </c>
    </row>
    <row r="3" spans="1:35" x14ac:dyDescent="0.25">
      <c r="A3" s="113" t="s">
        <v>834</v>
      </c>
      <c r="B3" s="113" t="s">
        <v>835</v>
      </c>
      <c r="C3" t="s">
        <v>836</v>
      </c>
      <c r="D3" t="s">
        <v>833</v>
      </c>
      <c r="F3" s="34">
        <v>1</v>
      </c>
      <c r="G3" s="35">
        <f t="shared" si="0"/>
        <v>2</v>
      </c>
      <c r="H3" s="36">
        <f t="shared" si="1"/>
        <v>171</v>
      </c>
      <c r="I3" s="37"/>
      <c r="J3" s="140">
        <v>3</v>
      </c>
      <c r="K3" t="s">
        <v>196</v>
      </c>
      <c r="L3" s="24">
        <v>60</v>
      </c>
      <c r="M3" s="45">
        <v>120</v>
      </c>
      <c r="N3" s="39">
        <f>INDEX(Inventory!E:E,MATCH(K3, Inventory!A:A),1)</f>
        <v>616165</v>
      </c>
      <c r="O3" s="40">
        <f t="shared" si="2"/>
        <v>0</v>
      </c>
      <c r="P3" s="41">
        <f t="shared" si="3"/>
        <v>0</v>
      </c>
      <c r="Q3" s="41" cm="1">
        <f t="array" ref="Q3">MAX(IF($A:$A=$A3, $P:$P))</f>
        <v>0</v>
      </c>
      <c r="R3" s="113" t="s">
        <v>728</v>
      </c>
      <c r="S3" s="116">
        <v>25</v>
      </c>
      <c r="T3" s="117">
        <v>50</v>
      </c>
      <c r="U3" s="39">
        <f>IF(S3 &gt; 0,INDEX(Inventory!E:E,MATCH(R3, Inventory!A:A),1), "")</f>
        <v>4281</v>
      </c>
      <c r="V3" s="40">
        <f t="shared" si="4"/>
        <v>0</v>
      </c>
      <c r="W3" s="41">
        <f t="shared" si="5"/>
        <v>0</v>
      </c>
      <c r="X3" t="s">
        <v>209</v>
      </c>
      <c r="Y3" s="24">
        <v>25</v>
      </c>
      <c r="Z3" s="38">
        <v>50</v>
      </c>
      <c r="AA3" s="39">
        <f>IF(Y3&gt;0, INDEX(Inventory!E:E,MATCH(X3, Inventory!A:A),1), "")</f>
        <v>9872</v>
      </c>
      <c r="AB3" s="42">
        <f t="shared" si="6"/>
        <v>0</v>
      </c>
      <c r="AC3" s="41">
        <f t="shared" si="7"/>
        <v>0</v>
      </c>
      <c r="AD3" s="114">
        <f t="shared" si="8"/>
        <v>0</v>
      </c>
      <c r="AE3" s="7">
        <f t="shared" si="9"/>
        <v>0</v>
      </c>
      <c r="AF3" s="7">
        <f t="shared" si="10"/>
        <v>2</v>
      </c>
      <c r="AG3" s="43">
        <f t="shared" si="11"/>
        <v>0</v>
      </c>
      <c r="AH3" s="43">
        <f t="shared" si="12"/>
        <v>0</v>
      </c>
      <c r="AI3" s="43">
        <f t="shared" si="13"/>
        <v>171.24</v>
      </c>
    </row>
    <row r="4" spans="1:35" x14ac:dyDescent="0.25">
      <c r="A4" s="113" t="s">
        <v>182</v>
      </c>
      <c r="C4" t="s">
        <v>837</v>
      </c>
      <c r="D4" t="s">
        <v>838</v>
      </c>
      <c r="E4" t="s">
        <v>755</v>
      </c>
      <c r="F4" s="46">
        <v>1</v>
      </c>
      <c r="G4" s="47">
        <f t="shared" ref="G4:G35" si="14">MAX(AD4:AF4)</f>
        <v>5</v>
      </c>
      <c r="H4" s="36">
        <f t="shared" ref="H4:H35" si="15">ROUNDDOWN(MAX(AG4:AI4),0)</f>
        <v>1819</v>
      </c>
      <c r="I4" s="37">
        <v>3600</v>
      </c>
      <c r="J4" s="140">
        <v>2</v>
      </c>
      <c r="K4" t="s">
        <v>323</v>
      </c>
      <c r="L4" s="24">
        <v>1</v>
      </c>
      <c r="M4" s="38">
        <v>5</v>
      </c>
      <c r="N4" s="69">
        <f>INDEX(Inventory!E:E,MATCH(K4, Inventory!A:A),1)</f>
        <v>1819</v>
      </c>
      <c r="O4" s="48">
        <f t="shared" ref="O4:O35" si="16">I4/F4*L4</f>
        <v>3600</v>
      </c>
      <c r="P4" s="41">
        <f t="shared" ref="P4:P35" si="17">IF(ISBLANK(I4), 0, N4/O4)</f>
        <v>0.50527777777777783</v>
      </c>
      <c r="Q4" s="41" cm="1">
        <f t="array" ref="Q4">MAX(IF($A:$A=$A4, $P:$P))</f>
        <v>6.0406944444444441</v>
      </c>
      <c r="R4" s="113" t="s">
        <v>735</v>
      </c>
      <c r="S4" s="116">
        <v>1</v>
      </c>
      <c r="T4" s="117">
        <v>10000</v>
      </c>
      <c r="U4" s="69">
        <f>IF(S4 &gt; 0,INDEX(Inventory!E:E,MATCH(R4, Inventory!A:A),1), "")</f>
        <v>5543</v>
      </c>
      <c r="V4" s="48">
        <f t="shared" ref="V4:V35" si="18">I4/F4*S4</f>
        <v>3600</v>
      </c>
      <c r="W4" s="41">
        <f t="shared" ref="W4:W35" si="19">IF(ISBLANK(I4),0,IF(ISBLANK(S4),0,U4/V4))</f>
        <v>1.5397222222222222</v>
      </c>
      <c r="Z4" s="38"/>
      <c r="AA4" s="69" t="str">
        <f>IF(Y4&gt;0, INDEX(Inventory!E:E,MATCH(X4, Inventory!A:A),1), "")</f>
        <v/>
      </c>
      <c r="AB4" s="49">
        <f t="shared" ref="AB4:AB35" si="20">I4/F4*Y4</f>
        <v>0</v>
      </c>
      <c r="AC4" s="41">
        <f t="shared" ref="AC4:AC35" si="21">IF(ISBLANK(I4), 0, IF(ISBLANK(Y4), 0, AA4/AB4))</f>
        <v>0</v>
      </c>
      <c r="AD4" s="114">
        <f t="shared" ref="AD4:AD35" si="22">IF(J4=1, M4/L4*F4, 0)</f>
        <v>0</v>
      </c>
      <c r="AE4" s="7">
        <f t="shared" ref="AE4:AE35" si="23">IF(J4=2, MIN(M4/L4, T4/S4)* F4,0)</f>
        <v>5</v>
      </c>
      <c r="AF4" s="7">
        <f t="shared" ref="AF4:AF35" si="24">IF(J4=3, MIN(M4/L4, T4/S4, Z4/Y4) * F4, 0)</f>
        <v>0</v>
      </c>
      <c r="AG4" s="43">
        <f t="shared" ref="AG4:AG35" si="25">IF(J4=1, N4/L4*F4, 0)</f>
        <v>0</v>
      </c>
      <c r="AH4" s="43">
        <f t="shared" ref="AH4:AH35" si="26">IF(J4=2,MIN(N4/L4, U4/S4)* F4,0)</f>
        <v>1819</v>
      </c>
      <c r="AI4" s="43">
        <f t="shared" ref="AI4:AI35" si="27">IF(J4=3, MIN(N4/L4, U4/S4, AA4/Y4) * F4, 0)</f>
        <v>0</v>
      </c>
    </row>
    <row r="5" spans="1:35" x14ac:dyDescent="0.25">
      <c r="A5" s="113" t="s">
        <v>182</v>
      </c>
      <c r="C5" t="s">
        <v>837</v>
      </c>
      <c r="D5" t="s">
        <v>838</v>
      </c>
      <c r="E5" t="s">
        <v>755</v>
      </c>
      <c r="F5" s="46">
        <v>1</v>
      </c>
      <c r="G5" s="47">
        <f t="shared" si="14"/>
        <v>0</v>
      </c>
      <c r="H5" s="36">
        <f t="shared" si="15"/>
        <v>4332</v>
      </c>
      <c r="I5" s="37">
        <v>3600</v>
      </c>
      <c r="J5" s="140">
        <v>2</v>
      </c>
      <c r="K5" t="s">
        <v>743</v>
      </c>
      <c r="L5" s="24">
        <v>1</v>
      </c>
      <c r="M5" s="38"/>
      <c r="N5" s="69">
        <f>INDEX(Inventory!E:E,MATCH(K5, Inventory!A:A),1)</f>
        <v>7926</v>
      </c>
      <c r="O5" s="48">
        <f t="shared" si="16"/>
        <v>3600</v>
      </c>
      <c r="P5" s="41">
        <f t="shared" si="17"/>
        <v>2.2016666666666667</v>
      </c>
      <c r="Q5" s="41" cm="1">
        <f t="array" ref="Q5">MAX(IF($A:$A=$A5, $P:$P))</f>
        <v>6.0406944444444441</v>
      </c>
      <c r="R5" s="113" t="s">
        <v>192</v>
      </c>
      <c r="S5" s="116">
        <v>2</v>
      </c>
      <c r="T5" s="117"/>
      <c r="U5" s="69">
        <f>IF(S5 &gt; 0,INDEX(Inventory!E:E,MATCH(R5, Inventory!A:A),1), "")</f>
        <v>8665</v>
      </c>
      <c r="V5" s="48">
        <f t="shared" si="18"/>
        <v>7200</v>
      </c>
      <c r="W5" s="41">
        <f t="shared" si="19"/>
        <v>1.2034722222222223</v>
      </c>
      <c r="Z5" s="38"/>
      <c r="AA5" s="69" t="str">
        <f>IF(Y5&gt;0, INDEX(Inventory!E:E,MATCH(X5, Inventory!A:A),1), "")</f>
        <v/>
      </c>
      <c r="AB5" s="49">
        <f t="shared" si="20"/>
        <v>0</v>
      </c>
      <c r="AC5" s="41">
        <f t="shared" si="21"/>
        <v>0</v>
      </c>
      <c r="AD5" s="114">
        <f t="shared" si="22"/>
        <v>0</v>
      </c>
      <c r="AE5" s="7">
        <f t="shared" si="23"/>
        <v>0</v>
      </c>
      <c r="AF5" s="7">
        <f t="shared" si="24"/>
        <v>0</v>
      </c>
      <c r="AG5" s="43">
        <f t="shared" si="25"/>
        <v>0</v>
      </c>
      <c r="AH5" s="43">
        <f t="shared" si="26"/>
        <v>4332.5</v>
      </c>
      <c r="AI5" s="43">
        <f t="shared" si="27"/>
        <v>0</v>
      </c>
    </row>
    <row r="6" spans="1:35" x14ac:dyDescent="0.25">
      <c r="A6" s="113" t="s">
        <v>182</v>
      </c>
      <c r="C6" t="s">
        <v>837</v>
      </c>
      <c r="D6" t="s">
        <v>838</v>
      </c>
      <c r="E6" t="s">
        <v>755</v>
      </c>
      <c r="F6" s="46">
        <v>1</v>
      </c>
      <c r="G6" s="47">
        <f t="shared" si="14"/>
        <v>0</v>
      </c>
      <c r="H6" s="36">
        <f t="shared" si="15"/>
        <v>1356</v>
      </c>
      <c r="I6" s="37">
        <v>3600</v>
      </c>
      <c r="J6" s="140">
        <v>2</v>
      </c>
      <c r="K6" t="s">
        <v>778</v>
      </c>
      <c r="L6" s="24">
        <v>1</v>
      </c>
      <c r="M6" s="45"/>
      <c r="N6" s="69">
        <f>INDEX(Inventory!E:E,MATCH(K6, Inventory!A:A),1)</f>
        <v>1356</v>
      </c>
      <c r="O6" s="48">
        <f t="shared" si="16"/>
        <v>3600</v>
      </c>
      <c r="P6" s="41">
        <f t="shared" si="17"/>
        <v>0.37666666666666665</v>
      </c>
      <c r="Q6" s="41" cm="1">
        <f t="array" ref="Q6">MAX(IF($A:$A=$A6, $P:$P))</f>
        <v>6.0406944444444441</v>
      </c>
      <c r="R6" s="113" t="s">
        <v>192</v>
      </c>
      <c r="S6" s="116">
        <v>2</v>
      </c>
      <c r="T6" s="117"/>
      <c r="U6" s="69">
        <f>IF(S6 &gt; 0,INDEX(Inventory!E:E,MATCH(R6, Inventory!A:A),1), "")</f>
        <v>8665</v>
      </c>
      <c r="V6" s="48">
        <f t="shared" si="18"/>
        <v>7200</v>
      </c>
      <c r="W6" s="41">
        <f t="shared" si="19"/>
        <v>1.2034722222222223</v>
      </c>
      <c r="Z6" s="38"/>
      <c r="AA6" s="69" t="str">
        <f>IF(Y6&gt;0, INDEX(Inventory!E:E,MATCH(X6, Inventory!A:A),1), "")</f>
        <v/>
      </c>
      <c r="AB6" s="49">
        <f t="shared" si="20"/>
        <v>0</v>
      </c>
      <c r="AC6" s="41">
        <f t="shared" si="21"/>
        <v>0</v>
      </c>
      <c r="AD6" s="114">
        <f t="shared" si="22"/>
        <v>0</v>
      </c>
      <c r="AE6" s="7">
        <f t="shared" si="23"/>
        <v>0</v>
      </c>
      <c r="AF6" s="7">
        <f t="shared" si="24"/>
        <v>0</v>
      </c>
      <c r="AG6" s="43">
        <f t="shared" si="25"/>
        <v>0</v>
      </c>
      <c r="AH6" s="43">
        <f t="shared" si="26"/>
        <v>1356</v>
      </c>
      <c r="AI6" s="43">
        <f t="shared" si="27"/>
        <v>0</v>
      </c>
    </row>
    <row r="7" spans="1:35" x14ac:dyDescent="0.25">
      <c r="A7" s="113" t="s">
        <v>182</v>
      </c>
      <c r="C7" t="s">
        <v>837</v>
      </c>
      <c r="D7" t="s">
        <v>838</v>
      </c>
      <c r="E7" t="s">
        <v>755</v>
      </c>
      <c r="F7" s="46">
        <v>1</v>
      </c>
      <c r="G7" s="47">
        <f t="shared" si="14"/>
        <v>0</v>
      </c>
      <c r="H7" s="36">
        <f t="shared" si="15"/>
        <v>15125</v>
      </c>
      <c r="I7" s="37">
        <v>3600</v>
      </c>
      <c r="J7" s="140">
        <v>2</v>
      </c>
      <c r="K7" t="s">
        <v>190</v>
      </c>
      <c r="L7" s="24">
        <v>2</v>
      </c>
      <c r="M7" s="38"/>
      <c r="N7" s="69">
        <f>INDEX(Inventory!E:E,MATCH(K7, Inventory!A:A),1)</f>
        <v>43493</v>
      </c>
      <c r="O7" s="48">
        <f t="shared" si="16"/>
        <v>7200</v>
      </c>
      <c r="P7" s="41">
        <f t="shared" si="17"/>
        <v>6.0406944444444441</v>
      </c>
      <c r="Q7" s="41" cm="1">
        <f t="array" ref="Q7">MAX(IF($A:$A=$A7, $P:$P))</f>
        <v>6.0406944444444441</v>
      </c>
      <c r="R7" s="113" t="s">
        <v>195</v>
      </c>
      <c r="S7" s="116">
        <v>1</v>
      </c>
      <c r="T7" s="117"/>
      <c r="U7" s="69">
        <f>IF(S7 &gt; 0,INDEX(Inventory!E:E,MATCH(R7, Inventory!A:A),1), "")</f>
        <v>15125</v>
      </c>
      <c r="V7" s="48">
        <f t="shared" si="18"/>
        <v>3600</v>
      </c>
      <c r="W7" s="41">
        <f t="shared" si="19"/>
        <v>4.2013888888888893</v>
      </c>
      <c r="Z7" s="38"/>
      <c r="AA7" s="69" t="str">
        <f>IF(Y7&gt;0, INDEX(Inventory!E:E,MATCH(X7, Inventory!A:A),1), "")</f>
        <v/>
      </c>
      <c r="AB7" s="49">
        <f t="shared" si="20"/>
        <v>0</v>
      </c>
      <c r="AC7" s="41">
        <f t="shared" si="21"/>
        <v>0</v>
      </c>
      <c r="AD7" s="114">
        <f t="shared" si="22"/>
        <v>0</v>
      </c>
      <c r="AE7" s="7">
        <f t="shared" si="23"/>
        <v>0</v>
      </c>
      <c r="AF7" s="7">
        <f t="shared" si="24"/>
        <v>0</v>
      </c>
      <c r="AG7" s="43">
        <f t="shared" si="25"/>
        <v>0</v>
      </c>
      <c r="AH7" s="43">
        <f t="shared" si="26"/>
        <v>15125</v>
      </c>
      <c r="AI7" s="43">
        <f t="shared" si="27"/>
        <v>0</v>
      </c>
    </row>
    <row r="8" spans="1:35" x14ac:dyDescent="0.25">
      <c r="A8" s="113" t="s">
        <v>839</v>
      </c>
      <c r="B8" s="113" t="s">
        <v>840</v>
      </c>
      <c r="C8" t="s">
        <v>836</v>
      </c>
      <c r="D8" t="s">
        <v>833</v>
      </c>
      <c r="F8" s="34">
        <v>1</v>
      </c>
      <c r="G8" s="35">
        <f t="shared" si="14"/>
        <v>0</v>
      </c>
      <c r="H8" s="36">
        <f t="shared" si="15"/>
        <v>0</v>
      </c>
      <c r="I8" s="37"/>
      <c r="J8" s="140">
        <v>3</v>
      </c>
      <c r="K8" t="s">
        <v>196</v>
      </c>
      <c r="L8" s="24">
        <v>60</v>
      </c>
      <c r="M8" s="45"/>
      <c r="N8" s="39">
        <f>INDEX(Inventory!E:E,MATCH(K8, Inventory!A:A),1)</f>
        <v>616165</v>
      </c>
      <c r="O8" s="40">
        <f t="shared" si="16"/>
        <v>0</v>
      </c>
      <c r="P8" s="41">
        <f t="shared" si="17"/>
        <v>0</v>
      </c>
      <c r="Q8" s="41" cm="1">
        <f t="array" ref="Q8">MAX(IF($A:$A=$A8, $P:$P))</f>
        <v>0</v>
      </c>
      <c r="R8" s="113" t="s">
        <v>724</v>
      </c>
      <c r="S8" s="116">
        <v>4</v>
      </c>
      <c r="T8" s="117"/>
      <c r="U8" s="39">
        <f>IF(S8 &gt; 0,INDEX(Inventory!E:E,MATCH(R8, Inventory!A:A),1), "")</f>
        <v>1</v>
      </c>
      <c r="V8" s="40">
        <f t="shared" si="18"/>
        <v>0</v>
      </c>
      <c r="W8" s="41">
        <f t="shared" si="19"/>
        <v>0</v>
      </c>
      <c r="X8" t="s">
        <v>785</v>
      </c>
      <c r="Y8" s="24">
        <v>1</v>
      </c>
      <c r="Z8" s="38"/>
      <c r="AA8" s="39">
        <f>IF(Y8&gt;0, INDEX(Inventory!E:E,MATCH(X8, Inventory!A:A),1), "")</f>
        <v>2</v>
      </c>
      <c r="AB8" s="42">
        <f t="shared" si="20"/>
        <v>0</v>
      </c>
      <c r="AC8" s="41">
        <f t="shared" si="21"/>
        <v>0</v>
      </c>
      <c r="AD8" s="114">
        <f t="shared" si="22"/>
        <v>0</v>
      </c>
      <c r="AE8" s="7">
        <f t="shared" si="23"/>
        <v>0</v>
      </c>
      <c r="AF8" s="7">
        <f t="shared" si="24"/>
        <v>0</v>
      </c>
      <c r="AG8" s="43">
        <f t="shared" si="25"/>
        <v>0</v>
      </c>
      <c r="AH8" s="43">
        <f t="shared" si="26"/>
        <v>0</v>
      </c>
      <c r="AI8" s="43">
        <f t="shared" si="27"/>
        <v>0.25</v>
      </c>
    </row>
    <row r="9" spans="1:35" x14ac:dyDescent="0.25">
      <c r="A9" s="113" t="s">
        <v>720</v>
      </c>
      <c r="C9" t="s">
        <v>837</v>
      </c>
      <c r="D9" t="s">
        <v>838</v>
      </c>
      <c r="E9" t="s">
        <v>196</v>
      </c>
      <c r="F9" s="46">
        <v>1</v>
      </c>
      <c r="G9" s="50">
        <f t="shared" si="14"/>
        <v>90</v>
      </c>
      <c r="H9" s="36">
        <f t="shared" si="15"/>
        <v>172</v>
      </c>
      <c r="I9" s="37">
        <v>120</v>
      </c>
      <c r="J9" s="140">
        <v>3</v>
      </c>
      <c r="K9" t="s">
        <v>192</v>
      </c>
      <c r="L9" s="24">
        <v>30</v>
      </c>
      <c r="M9" s="45">
        <v>5400</v>
      </c>
      <c r="N9" s="69">
        <f>INDEX(Inventory!E:E,MATCH(K9, Inventory!A:A),1)</f>
        <v>8665</v>
      </c>
      <c r="O9" s="48">
        <f t="shared" si="16"/>
        <v>3600</v>
      </c>
      <c r="P9" s="41">
        <f t="shared" si="17"/>
        <v>2.4069444444444446</v>
      </c>
      <c r="Q9" s="41" cm="1">
        <f t="array" ref="Q9">MAX(IF($A:$A=$A9, $P:$P))</f>
        <v>2.4069444444444446</v>
      </c>
      <c r="R9" s="113" t="s">
        <v>752</v>
      </c>
      <c r="S9" s="116">
        <v>10</v>
      </c>
      <c r="T9" s="117">
        <v>1800</v>
      </c>
      <c r="U9" s="69">
        <f>IF(S9 &gt; 0,INDEX(Inventory!E:E,MATCH(R9, Inventory!A:A),1), "")</f>
        <v>4286</v>
      </c>
      <c r="V9" s="48">
        <f t="shared" si="18"/>
        <v>1200</v>
      </c>
      <c r="W9" s="41">
        <f t="shared" si="19"/>
        <v>3.5716666666666668</v>
      </c>
      <c r="X9" t="s">
        <v>186</v>
      </c>
      <c r="Y9" s="24">
        <v>60</v>
      </c>
      <c r="Z9" s="38">
        <v>5400</v>
      </c>
      <c r="AA9" s="69">
        <f>IF(Y9&gt;0, INDEX(Inventory!E:E,MATCH(X9, Inventory!A:A),1), "")</f>
        <v>10347</v>
      </c>
      <c r="AB9" s="49">
        <f t="shared" si="20"/>
        <v>7200</v>
      </c>
      <c r="AC9" s="41">
        <f t="shared" si="21"/>
        <v>1.4370833333333333</v>
      </c>
      <c r="AD9" s="114">
        <f t="shared" si="22"/>
        <v>0</v>
      </c>
      <c r="AE9" s="7">
        <f t="shared" si="23"/>
        <v>0</v>
      </c>
      <c r="AF9" s="7">
        <f t="shared" si="24"/>
        <v>90</v>
      </c>
      <c r="AG9" s="43">
        <f t="shared" si="25"/>
        <v>0</v>
      </c>
      <c r="AH9" s="43">
        <f t="shared" si="26"/>
        <v>0</v>
      </c>
      <c r="AI9" s="43">
        <f t="shared" si="27"/>
        <v>172.45</v>
      </c>
    </row>
    <row r="10" spans="1:35" x14ac:dyDescent="0.25">
      <c r="A10" s="113" t="s">
        <v>720</v>
      </c>
      <c r="C10" t="s">
        <v>837</v>
      </c>
      <c r="D10" t="s">
        <v>838</v>
      </c>
      <c r="E10" t="s">
        <v>196</v>
      </c>
      <c r="F10" s="46">
        <v>1</v>
      </c>
      <c r="G10" s="50">
        <f t="shared" si="14"/>
        <v>0</v>
      </c>
      <c r="H10" s="36">
        <f t="shared" si="15"/>
        <v>172</v>
      </c>
      <c r="I10" s="37">
        <v>120</v>
      </c>
      <c r="J10" s="140">
        <v>3</v>
      </c>
      <c r="K10" t="s">
        <v>192</v>
      </c>
      <c r="L10" s="24">
        <v>30</v>
      </c>
      <c r="M10" s="45"/>
      <c r="N10" s="69">
        <f>INDEX(Inventory!E:E,MATCH(K10, Inventory!A:A),1)</f>
        <v>8665</v>
      </c>
      <c r="O10" s="48">
        <f t="shared" si="16"/>
        <v>3600</v>
      </c>
      <c r="P10" s="41">
        <f t="shared" si="17"/>
        <v>2.4069444444444446</v>
      </c>
      <c r="Q10" s="41" cm="1">
        <f t="array" ref="Q10">MAX(IF($A:$A=$A10, $P:$P))</f>
        <v>2.4069444444444446</v>
      </c>
      <c r="R10" s="113" t="s">
        <v>774</v>
      </c>
      <c r="S10" s="116">
        <v>5</v>
      </c>
      <c r="T10" s="117"/>
      <c r="U10" s="69">
        <f>IF(S10 &gt; 0,INDEX(Inventory!E:E,MATCH(R10, Inventory!A:A),1), "")</f>
        <v>9743</v>
      </c>
      <c r="V10" s="48">
        <f t="shared" si="18"/>
        <v>600</v>
      </c>
      <c r="W10" s="41">
        <f t="shared" si="19"/>
        <v>16.238333333333333</v>
      </c>
      <c r="X10" t="s">
        <v>186</v>
      </c>
      <c r="Y10" s="24">
        <v>60</v>
      </c>
      <c r="Z10" s="38"/>
      <c r="AA10" s="69">
        <f>IF(Y10&gt;0, INDEX(Inventory!E:E,MATCH(X10, Inventory!A:A),1), "")</f>
        <v>10347</v>
      </c>
      <c r="AB10" s="49">
        <f t="shared" si="20"/>
        <v>7200</v>
      </c>
      <c r="AC10" s="41">
        <f t="shared" si="21"/>
        <v>1.4370833333333333</v>
      </c>
      <c r="AD10" s="114">
        <f t="shared" si="22"/>
        <v>0</v>
      </c>
      <c r="AE10" s="7">
        <f t="shared" si="23"/>
        <v>0</v>
      </c>
      <c r="AF10" s="7">
        <f t="shared" si="24"/>
        <v>0</v>
      </c>
      <c r="AG10" s="43">
        <f t="shared" si="25"/>
        <v>0</v>
      </c>
      <c r="AH10" s="43">
        <f t="shared" si="26"/>
        <v>0</v>
      </c>
      <c r="AI10" s="43">
        <f t="shared" si="27"/>
        <v>172.45</v>
      </c>
    </row>
    <row r="11" spans="1:35" x14ac:dyDescent="0.25">
      <c r="A11" s="113" t="s">
        <v>720</v>
      </c>
      <c r="C11" t="s">
        <v>837</v>
      </c>
      <c r="D11" t="s">
        <v>838</v>
      </c>
      <c r="E11" t="s">
        <v>196</v>
      </c>
      <c r="F11" s="46">
        <v>1</v>
      </c>
      <c r="G11" s="50">
        <f t="shared" si="14"/>
        <v>0</v>
      </c>
      <c r="H11" s="36">
        <f t="shared" si="15"/>
        <v>172</v>
      </c>
      <c r="I11" s="37">
        <v>120</v>
      </c>
      <c r="J11" s="140">
        <v>3</v>
      </c>
      <c r="K11" t="s">
        <v>192</v>
      </c>
      <c r="L11" s="24">
        <v>30</v>
      </c>
      <c r="M11" s="45"/>
      <c r="N11" s="69">
        <f>INDEX(Inventory!E:E,MATCH(K11, Inventory!A:A),1)</f>
        <v>8665</v>
      </c>
      <c r="O11" s="48">
        <f t="shared" si="16"/>
        <v>3600</v>
      </c>
      <c r="P11" s="41">
        <f t="shared" si="17"/>
        <v>2.4069444444444446</v>
      </c>
      <c r="Q11" s="41" cm="1">
        <f t="array" ref="Q11">MAX(IF($A:$A=$A11, $P:$P))</f>
        <v>2.4069444444444446</v>
      </c>
      <c r="R11" s="113" t="s">
        <v>792</v>
      </c>
      <c r="S11" s="116">
        <v>20</v>
      </c>
      <c r="T11" s="117"/>
      <c r="U11" s="69">
        <f>IF(S11 &gt; 0,INDEX(Inventory!E:E,MATCH(R11, Inventory!A:A),1), "")</f>
        <v>16709</v>
      </c>
      <c r="V11" s="48">
        <f t="shared" si="18"/>
        <v>2400</v>
      </c>
      <c r="W11" s="41">
        <f t="shared" si="19"/>
        <v>6.9620833333333332</v>
      </c>
      <c r="X11" t="s">
        <v>186</v>
      </c>
      <c r="Y11" s="24">
        <v>60</v>
      </c>
      <c r="Z11" s="38"/>
      <c r="AA11" s="69">
        <f>IF(Y11&gt;0, INDEX(Inventory!E:E,MATCH(X11, Inventory!A:A),1), "")</f>
        <v>10347</v>
      </c>
      <c r="AB11" s="49">
        <f t="shared" si="20"/>
        <v>7200</v>
      </c>
      <c r="AC11" s="41">
        <f t="shared" si="21"/>
        <v>1.4370833333333333</v>
      </c>
      <c r="AD11" s="114">
        <f t="shared" si="22"/>
        <v>0</v>
      </c>
      <c r="AE11" s="7">
        <f t="shared" si="23"/>
        <v>0</v>
      </c>
      <c r="AF11" s="7">
        <f t="shared" si="24"/>
        <v>0</v>
      </c>
      <c r="AG11" s="43">
        <f t="shared" si="25"/>
        <v>0</v>
      </c>
      <c r="AH11" s="43">
        <f t="shared" si="26"/>
        <v>0</v>
      </c>
      <c r="AI11" s="43">
        <f t="shared" si="27"/>
        <v>172.45</v>
      </c>
    </row>
    <row r="12" spans="1:35" x14ac:dyDescent="0.25">
      <c r="A12" s="113" t="s">
        <v>720</v>
      </c>
      <c r="C12" t="s">
        <v>837</v>
      </c>
      <c r="D12" t="s">
        <v>838</v>
      </c>
      <c r="E12" t="s">
        <v>196</v>
      </c>
      <c r="F12" s="46">
        <v>1</v>
      </c>
      <c r="G12" s="50">
        <f t="shared" si="14"/>
        <v>0</v>
      </c>
      <c r="H12" s="36">
        <f t="shared" si="15"/>
        <v>94</v>
      </c>
      <c r="I12" s="37">
        <v>120</v>
      </c>
      <c r="J12" s="140">
        <v>3</v>
      </c>
      <c r="K12" t="s">
        <v>192</v>
      </c>
      <c r="L12" s="24">
        <v>30</v>
      </c>
      <c r="M12" s="45"/>
      <c r="N12" s="69">
        <f>INDEX(Inventory!E:E,MATCH(K12, Inventory!A:A),1)</f>
        <v>8665</v>
      </c>
      <c r="O12" s="48">
        <f t="shared" si="16"/>
        <v>3600</v>
      </c>
      <c r="P12" s="41">
        <f t="shared" si="17"/>
        <v>2.4069444444444446</v>
      </c>
      <c r="Q12" s="41" cm="1">
        <f t="array" ref="Q12">MAX(IF($A:$A=$A12, $P:$P))</f>
        <v>2.4069444444444446</v>
      </c>
      <c r="R12" s="113" t="s">
        <v>752</v>
      </c>
      <c r="S12" s="116">
        <v>10</v>
      </c>
      <c r="T12" s="117"/>
      <c r="U12" s="69">
        <f>IF(S12 &gt; 0,INDEX(Inventory!E:E,MATCH(R12, Inventory!A:A),1), "")</f>
        <v>4286</v>
      </c>
      <c r="V12" s="48">
        <f t="shared" si="18"/>
        <v>1200</v>
      </c>
      <c r="W12" s="41">
        <f t="shared" si="19"/>
        <v>3.5716666666666668</v>
      </c>
      <c r="X12" t="s">
        <v>759</v>
      </c>
      <c r="Y12" s="24">
        <v>30</v>
      </c>
      <c r="Z12" s="38"/>
      <c r="AA12" s="69">
        <f>IF(Y12&gt;0, INDEX(Inventory!E:E,MATCH(X12, Inventory!A:A),1), "")</f>
        <v>2836</v>
      </c>
      <c r="AB12" s="49">
        <f t="shared" si="20"/>
        <v>3600</v>
      </c>
      <c r="AC12" s="41">
        <f t="shared" si="21"/>
        <v>0.7877777777777778</v>
      </c>
      <c r="AD12" s="114">
        <f t="shared" si="22"/>
        <v>0</v>
      </c>
      <c r="AE12" s="7">
        <f t="shared" si="23"/>
        <v>0</v>
      </c>
      <c r="AF12" s="7">
        <f t="shared" si="24"/>
        <v>0</v>
      </c>
      <c r="AG12" s="43">
        <f t="shared" si="25"/>
        <v>0</v>
      </c>
      <c r="AH12" s="43">
        <f t="shared" si="26"/>
        <v>0</v>
      </c>
      <c r="AI12" s="43">
        <f t="shared" si="27"/>
        <v>94.533333333333331</v>
      </c>
    </row>
    <row r="13" spans="1:35" x14ac:dyDescent="0.25">
      <c r="A13" s="113" t="s">
        <v>720</v>
      </c>
      <c r="C13" t="s">
        <v>837</v>
      </c>
      <c r="D13" t="s">
        <v>838</v>
      </c>
      <c r="E13" t="s">
        <v>196</v>
      </c>
      <c r="F13" s="46">
        <v>1</v>
      </c>
      <c r="G13" s="50">
        <f t="shared" si="14"/>
        <v>0</v>
      </c>
      <c r="H13" s="36">
        <f t="shared" si="15"/>
        <v>94</v>
      </c>
      <c r="I13" s="37">
        <v>120</v>
      </c>
      <c r="J13" s="140">
        <v>3</v>
      </c>
      <c r="K13" t="s">
        <v>192</v>
      </c>
      <c r="L13" s="24">
        <v>30</v>
      </c>
      <c r="M13" s="45"/>
      <c r="N13" s="69">
        <f>INDEX(Inventory!E:E,MATCH(K13, Inventory!A:A),1)</f>
        <v>8665</v>
      </c>
      <c r="O13" s="48">
        <f t="shared" si="16"/>
        <v>3600</v>
      </c>
      <c r="P13" s="41">
        <f t="shared" si="17"/>
        <v>2.4069444444444446</v>
      </c>
      <c r="Q13" s="41" cm="1">
        <f t="array" ref="Q13">MAX(IF($A:$A=$A13, $P:$P))</f>
        <v>2.4069444444444446</v>
      </c>
      <c r="R13" s="113" t="s">
        <v>774</v>
      </c>
      <c r="S13" s="116">
        <v>5</v>
      </c>
      <c r="T13" s="117"/>
      <c r="U13" s="69">
        <f>IF(S13 &gt; 0,INDEX(Inventory!E:E,MATCH(R13, Inventory!A:A),1), "")</f>
        <v>9743</v>
      </c>
      <c r="V13" s="48">
        <f t="shared" si="18"/>
        <v>600</v>
      </c>
      <c r="W13" s="41">
        <f t="shared" si="19"/>
        <v>16.238333333333333</v>
      </c>
      <c r="X13" t="s">
        <v>759</v>
      </c>
      <c r="Y13" s="24">
        <v>30</v>
      </c>
      <c r="Z13" s="38"/>
      <c r="AA13" s="69">
        <f>IF(Y13&gt;0, INDEX(Inventory!E:E,MATCH(X13, Inventory!A:A),1), "")</f>
        <v>2836</v>
      </c>
      <c r="AB13" s="48">
        <f t="shared" si="20"/>
        <v>3600</v>
      </c>
      <c r="AC13" s="41">
        <f t="shared" si="21"/>
        <v>0.7877777777777778</v>
      </c>
      <c r="AD13" s="114">
        <f t="shared" si="22"/>
        <v>0</v>
      </c>
      <c r="AE13" s="7">
        <f t="shared" si="23"/>
        <v>0</v>
      </c>
      <c r="AF13" s="7">
        <f t="shared" si="24"/>
        <v>0</v>
      </c>
      <c r="AG13" s="43">
        <f t="shared" si="25"/>
        <v>0</v>
      </c>
      <c r="AH13" s="43">
        <f t="shared" si="26"/>
        <v>0</v>
      </c>
      <c r="AI13" s="43">
        <f t="shared" si="27"/>
        <v>94.533333333333331</v>
      </c>
    </row>
    <row r="14" spans="1:35" x14ac:dyDescent="0.25">
      <c r="A14" s="113" t="s">
        <v>720</v>
      </c>
      <c r="C14" t="s">
        <v>837</v>
      </c>
      <c r="D14" t="s">
        <v>838</v>
      </c>
      <c r="E14" t="s">
        <v>196</v>
      </c>
      <c r="F14" s="46">
        <v>1</v>
      </c>
      <c r="G14" s="50">
        <f t="shared" si="14"/>
        <v>0</v>
      </c>
      <c r="H14" s="36">
        <f t="shared" si="15"/>
        <v>94</v>
      </c>
      <c r="I14" s="37">
        <v>120</v>
      </c>
      <c r="J14" s="140">
        <v>3</v>
      </c>
      <c r="K14" t="s">
        <v>192</v>
      </c>
      <c r="L14" s="24">
        <v>30</v>
      </c>
      <c r="M14" s="45"/>
      <c r="N14" s="69">
        <f>INDEX(Inventory!E:E,MATCH(K14, Inventory!A:A),1)</f>
        <v>8665</v>
      </c>
      <c r="O14" s="48">
        <f t="shared" si="16"/>
        <v>3600</v>
      </c>
      <c r="P14" s="41">
        <f t="shared" si="17"/>
        <v>2.4069444444444446</v>
      </c>
      <c r="Q14" s="41" cm="1">
        <f t="array" ref="Q14">MAX(IF($A:$A=$A14, $P:$P))</f>
        <v>2.4069444444444446</v>
      </c>
      <c r="R14" s="113" t="s">
        <v>792</v>
      </c>
      <c r="S14" s="116">
        <v>20</v>
      </c>
      <c r="T14" s="117"/>
      <c r="U14" s="69">
        <f>IF(S14 &gt; 0,INDEX(Inventory!E:E,MATCH(R14, Inventory!A:A),1), "")</f>
        <v>16709</v>
      </c>
      <c r="V14" s="48">
        <f t="shared" si="18"/>
        <v>2400</v>
      </c>
      <c r="W14" s="41">
        <f t="shared" si="19"/>
        <v>6.9620833333333332</v>
      </c>
      <c r="X14" t="s">
        <v>759</v>
      </c>
      <c r="Y14" s="24">
        <v>30</v>
      </c>
      <c r="Z14" s="38"/>
      <c r="AA14" s="69">
        <f>IF(Y14&gt;0, INDEX(Inventory!E:E,MATCH(X14, Inventory!A:A),1), "")</f>
        <v>2836</v>
      </c>
      <c r="AB14" s="49">
        <f t="shared" si="20"/>
        <v>3600</v>
      </c>
      <c r="AC14" s="41">
        <f t="shared" si="21"/>
        <v>0.7877777777777778</v>
      </c>
      <c r="AD14" s="114">
        <f t="shared" si="22"/>
        <v>0</v>
      </c>
      <c r="AE14" s="7">
        <f t="shared" si="23"/>
        <v>0</v>
      </c>
      <c r="AF14" s="7">
        <f t="shared" si="24"/>
        <v>0</v>
      </c>
      <c r="AG14" s="43">
        <f t="shared" si="25"/>
        <v>0</v>
      </c>
      <c r="AH14" s="43">
        <f t="shared" si="26"/>
        <v>0</v>
      </c>
      <c r="AI14" s="43">
        <f t="shared" si="27"/>
        <v>94.533333333333331</v>
      </c>
    </row>
    <row r="15" spans="1:35" x14ac:dyDescent="0.25">
      <c r="A15" s="113" t="s">
        <v>720</v>
      </c>
      <c r="C15" t="s">
        <v>837</v>
      </c>
      <c r="D15" t="s">
        <v>833</v>
      </c>
      <c r="E15" t="s">
        <v>196</v>
      </c>
      <c r="F15" s="46">
        <v>1</v>
      </c>
      <c r="G15" s="50">
        <f t="shared" si="14"/>
        <v>0</v>
      </c>
      <c r="H15" s="36">
        <f t="shared" si="15"/>
        <v>56</v>
      </c>
      <c r="I15" s="37">
        <v>120</v>
      </c>
      <c r="J15" s="140">
        <v>2</v>
      </c>
      <c r="K15" t="s">
        <v>192</v>
      </c>
      <c r="L15" s="24">
        <v>50</v>
      </c>
      <c r="M15" s="45"/>
      <c r="N15" s="69">
        <f>INDEX(Inventory!E:E,MATCH(K15, Inventory!A:A),1)</f>
        <v>8665</v>
      </c>
      <c r="O15" s="48">
        <f t="shared" si="16"/>
        <v>6000</v>
      </c>
      <c r="P15" s="41">
        <f t="shared" si="17"/>
        <v>1.4441666666666666</v>
      </c>
      <c r="Q15" s="41" cm="1">
        <f t="array" ref="Q15">MAX(IF($A:$A=$A15, $P:$P))</f>
        <v>2.4069444444444446</v>
      </c>
      <c r="R15" s="113" t="s">
        <v>759</v>
      </c>
      <c r="S15" s="116">
        <v>50</v>
      </c>
      <c r="T15" s="117"/>
      <c r="U15" s="69">
        <f>IF(S15 &gt; 0,INDEX(Inventory!E:E,MATCH(R15, Inventory!A:A),1), "")</f>
        <v>2836</v>
      </c>
      <c r="V15" s="48">
        <f t="shared" si="18"/>
        <v>6000</v>
      </c>
      <c r="W15" s="41">
        <f t="shared" si="19"/>
        <v>0.47266666666666668</v>
      </c>
      <c r="Z15" s="38"/>
      <c r="AA15" s="69" t="str">
        <f>IF(Y15&gt;0, INDEX(Inventory!E:E,MATCH(X15, Inventory!A:A),1), "")</f>
        <v/>
      </c>
      <c r="AB15" s="49">
        <f t="shared" si="20"/>
        <v>0</v>
      </c>
      <c r="AC15" s="41">
        <f t="shared" si="21"/>
        <v>0</v>
      </c>
      <c r="AD15" s="114">
        <f t="shared" si="22"/>
        <v>0</v>
      </c>
      <c r="AE15" s="7">
        <f t="shared" si="23"/>
        <v>0</v>
      </c>
      <c r="AF15" s="7">
        <f t="shared" si="24"/>
        <v>0</v>
      </c>
      <c r="AG15" s="43">
        <f t="shared" si="25"/>
        <v>0</v>
      </c>
      <c r="AH15" s="43">
        <f t="shared" si="26"/>
        <v>56.72</v>
      </c>
      <c r="AI15" s="43">
        <f t="shared" si="27"/>
        <v>0</v>
      </c>
    </row>
    <row r="16" spans="1:35" x14ac:dyDescent="0.25">
      <c r="A16" s="113" t="s">
        <v>841</v>
      </c>
      <c r="B16" s="113" t="s">
        <v>842</v>
      </c>
      <c r="C16" t="s">
        <v>836</v>
      </c>
      <c r="D16" t="s">
        <v>833</v>
      </c>
      <c r="F16" s="34">
        <v>1</v>
      </c>
      <c r="G16" s="35">
        <f t="shared" si="14"/>
        <v>0</v>
      </c>
      <c r="H16" s="36">
        <f t="shared" si="15"/>
        <v>329</v>
      </c>
      <c r="I16" s="37"/>
      <c r="J16" s="140">
        <v>2</v>
      </c>
      <c r="K16" t="s">
        <v>196</v>
      </c>
      <c r="L16" s="24">
        <v>40</v>
      </c>
      <c r="M16" s="38"/>
      <c r="N16" s="39">
        <f>INDEX(Inventory!E:E,MATCH(K16, Inventory!A:A),1)</f>
        <v>616165</v>
      </c>
      <c r="O16" s="40">
        <f t="shared" si="16"/>
        <v>0</v>
      </c>
      <c r="P16" s="41">
        <f t="shared" si="17"/>
        <v>0</v>
      </c>
      <c r="Q16" s="41" cm="1">
        <f t="array" ref="Q16">MAX(IF($A:$A=$A16, $P:$P))</f>
        <v>0</v>
      </c>
      <c r="R16" s="113" t="s">
        <v>209</v>
      </c>
      <c r="S16" s="116">
        <v>30</v>
      </c>
      <c r="T16" s="117"/>
      <c r="U16" s="39">
        <f>IF(S16 &gt; 0,INDEX(Inventory!E:E,MATCH(R16, Inventory!A:A),1), "")</f>
        <v>9872</v>
      </c>
      <c r="V16" s="40">
        <f t="shared" si="18"/>
        <v>0</v>
      </c>
      <c r="W16" s="41">
        <f t="shared" si="19"/>
        <v>0</v>
      </c>
      <c r="Z16" s="38"/>
      <c r="AA16" s="39" t="str">
        <f>IF(Y16&gt;0, INDEX(Inventory!E:E,MATCH(X16, Inventory!A:A),1), "")</f>
        <v/>
      </c>
      <c r="AB16" s="42">
        <f t="shared" si="20"/>
        <v>0</v>
      </c>
      <c r="AC16" s="41">
        <f t="shared" si="21"/>
        <v>0</v>
      </c>
      <c r="AD16" s="114">
        <f t="shared" si="22"/>
        <v>0</v>
      </c>
      <c r="AE16" s="7">
        <f t="shared" si="23"/>
        <v>0</v>
      </c>
      <c r="AF16" s="7">
        <f t="shared" si="24"/>
        <v>0</v>
      </c>
      <c r="AG16" s="43">
        <f t="shared" si="25"/>
        <v>0</v>
      </c>
      <c r="AH16" s="43">
        <f t="shared" si="26"/>
        <v>329.06666666666666</v>
      </c>
      <c r="AI16" s="43">
        <f t="shared" si="27"/>
        <v>0</v>
      </c>
    </row>
    <row r="17" spans="1:35" x14ac:dyDescent="0.25">
      <c r="A17" s="113" t="s">
        <v>843</v>
      </c>
      <c r="B17" s="113" t="s">
        <v>844</v>
      </c>
      <c r="C17" t="s">
        <v>836</v>
      </c>
      <c r="D17" t="s">
        <v>833</v>
      </c>
      <c r="F17" s="34">
        <v>1</v>
      </c>
      <c r="G17" s="35">
        <f t="shared" si="14"/>
        <v>0</v>
      </c>
      <c r="H17" s="36">
        <f t="shared" si="15"/>
        <v>20538</v>
      </c>
      <c r="I17" s="37"/>
      <c r="J17" s="140">
        <v>1</v>
      </c>
      <c r="K17" t="s">
        <v>196</v>
      </c>
      <c r="L17" s="24">
        <v>30</v>
      </c>
      <c r="M17" s="45"/>
      <c r="N17" s="39">
        <f>INDEX(Inventory!E:E,MATCH(K17, Inventory!A:A),1)</f>
        <v>616165</v>
      </c>
      <c r="O17" s="40">
        <f t="shared" si="16"/>
        <v>0</v>
      </c>
      <c r="P17" s="41">
        <f t="shared" si="17"/>
        <v>0</v>
      </c>
      <c r="Q17" s="41" cm="1">
        <f t="array" ref="Q17">MAX(IF($A:$A=$A17, $P:$P))</f>
        <v>0</v>
      </c>
      <c r="R17" s="113"/>
      <c r="S17" s="116"/>
      <c r="T17" s="117"/>
      <c r="U17" s="39" t="str">
        <f>IF(S17 &gt; 0,INDEX(Inventory!E:E,MATCH(R17, Inventory!A:A),1), "")</f>
        <v/>
      </c>
      <c r="V17" s="40">
        <f t="shared" si="18"/>
        <v>0</v>
      </c>
      <c r="W17" s="41">
        <f t="shared" si="19"/>
        <v>0</v>
      </c>
      <c r="Z17" s="38"/>
      <c r="AA17" s="39" t="str">
        <f>IF(Y17&gt;0, INDEX(Inventory!E:E,MATCH(X17, Inventory!A:A),1), "")</f>
        <v/>
      </c>
      <c r="AB17" s="42">
        <f t="shared" si="20"/>
        <v>0</v>
      </c>
      <c r="AC17" s="41">
        <f t="shared" si="21"/>
        <v>0</v>
      </c>
      <c r="AD17" s="114">
        <f t="shared" si="22"/>
        <v>0</v>
      </c>
      <c r="AE17" s="7">
        <f t="shared" si="23"/>
        <v>0</v>
      </c>
      <c r="AF17" s="7">
        <f t="shared" si="24"/>
        <v>0</v>
      </c>
      <c r="AG17" s="43">
        <f t="shared" si="25"/>
        <v>20538.833333333332</v>
      </c>
      <c r="AH17" s="43">
        <f t="shared" si="26"/>
        <v>0</v>
      </c>
      <c r="AI17" s="43">
        <f t="shared" si="27"/>
        <v>0</v>
      </c>
    </row>
    <row r="18" spans="1:35" x14ac:dyDescent="0.25">
      <c r="A18" s="113" t="s">
        <v>184</v>
      </c>
      <c r="C18" t="s">
        <v>845</v>
      </c>
      <c r="D18" t="s">
        <v>838</v>
      </c>
      <c r="F18" s="34">
        <v>2</v>
      </c>
      <c r="G18" s="35">
        <f t="shared" si="14"/>
        <v>0</v>
      </c>
      <c r="H18" s="36">
        <f t="shared" si="15"/>
        <v>1416</v>
      </c>
      <c r="I18" s="37"/>
      <c r="J18" s="140">
        <v>2</v>
      </c>
      <c r="K18" t="s">
        <v>194</v>
      </c>
      <c r="L18" s="24">
        <v>2</v>
      </c>
      <c r="M18" s="38"/>
      <c r="N18" s="39">
        <f>INDEX(Inventory!E:E,MATCH(K18, Inventory!A:A),1)</f>
        <v>1416</v>
      </c>
      <c r="O18" s="40">
        <f t="shared" si="16"/>
        <v>0</v>
      </c>
      <c r="P18" s="41">
        <f t="shared" si="17"/>
        <v>0</v>
      </c>
      <c r="Q18" s="41" cm="1">
        <f t="array" ref="Q18">MAX(IF($A:$A=$A18, $P:$P))</f>
        <v>0</v>
      </c>
      <c r="R18" s="113" t="s">
        <v>209</v>
      </c>
      <c r="S18" s="116">
        <v>1</v>
      </c>
      <c r="T18" s="117"/>
      <c r="U18" s="39">
        <f>IF(S18 &gt; 0,INDEX(Inventory!E:E,MATCH(R18, Inventory!A:A),1), "")</f>
        <v>9872</v>
      </c>
      <c r="V18" s="40">
        <f t="shared" si="18"/>
        <v>0</v>
      </c>
      <c r="W18" s="41">
        <f t="shared" si="19"/>
        <v>0</v>
      </c>
      <c r="Z18" s="38"/>
      <c r="AA18" s="39" t="str">
        <f>IF(Y18&gt;0, INDEX(Inventory!E:E,MATCH(X18, Inventory!A:A),1), "")</f>
        <v/>
      </c>
      <c r="AB18" s="42">
        <f t="shared" si="20"/>
        <v>0</v>
      </c>
      <c r="AC18" s="41">
        <f t="shared" si="21"/>
        <v>0</v>
      </c>
      <c r="AD18" s="114">
        <f t="shared" si="22"/>
        <v>0</v>
      </c>
      <c r="AE18" s="7">
        <f t="shared" si="23"/>
        <v>0</v>
      </c>
      <c r="AF18" s="7">
        <f t="shared" si="24"/>
        <v>0</v>
      </c>
      <c r="AG18" s="43">
        <f t="shared" si="25"/>
        <v>0</v>
      </c>
      <c r="AH18" s="43">
        <f t="shared" si="26"/>
        <v>1416</v>
      </c>
      <c r="AI18" s="43">
        <f t="shared" si="27"/>
        <v>0</v>
      </c>
    </row>
    <row r="19" spans="1:35" x14ac:dyDescent="0.25">
      <c r="A19" s="113" t="s">
        <v>184</v>
      </c>
      <c r="C19" t="s">
        <v>845</v>
      </c>
      <c r="D19" t="s">
        <v>838</v>
      </c>
      <c r="F19" s="34">
        <v>1</v>
      </c>
      <c r="G19" s="35">
        <f t="shared" si="14"/>
        <v>0</v>
      </c>
      <c r="H19" s="36">
        <f t="shared" si="15"/>
        <v>974</v>
      </c>
      <c r="I19" s="37"/>
      <c r="J19" s="140">
        <v>2</v>
      </c>
      <c r="K19" t="s">
        <v>194</v>
      </c>
      <c r="L19" s="24">
        <v>1</v>
      </c>
      <c r="M19" s="45"/>
      <c r="N19" s="39">
        <f>INDEX(Inventory!E:E,MATCH(K19, Inventory!A:A),1)</f>
        <v>1416</v>
      </c>
      <c r="O19" s="40">
        <f t="shared" si="16"/>
        <v>0</v>
      </c>
      <c r="P19" s="41">
        <f t="shared" si="17"/>
        <v>0</v>
      </c>
      <c r="Q19" s="41" cm="1">
        <f t="array" ref="Q19">MAX(IF($A:$A=$A19, $P:$P))</f>
        <v>0</v>
      </c>
      <c r="R19" s="113" t="s">
        <v>789</v>
      </c>
      <c r="S19" s="116">
        <v>1</v>
      </c>
      <c r="T19" s="117"/>
      <c r="U19" s="39">
        <f>IF(S19 &gt; 0,INDEX(Inventory!E:E,MATCH(R19, Inventory!A:A),1), "")</f>
        <v>974</v>
      </c>
      <c r="V19" s="40">
        <f t="shared" si="18"/>
        <v>0</v>
      </c>
      <c r="W19" s="41">
        <f t="shared" si="19"/>
        <v>0</v>
      </c>
      <c r="Z19" s="38"/>
      <c r="AA19" s="39" t="str">
        <f>IF(Y19&gt;0, INDEX(Inventory!E:E,MATCH(X19, Inventory!A:A),1), "")</f>
        <v/>
      </c>
      <c r="AB19" s="42">
        <f t="shared" si="20"/>
        <v>0</v>
      </c>
      <c r="AC19" s="41">
        <f t="shared" si="21"/>
        <v>0</v>
      </c>
      <c r="AD19" s="114">
        <f t="shared" si="22"/>
        <v>0</v>
      </c>
      <c r="AE19" s="7">
        <f t="shared" si="23"/>
        <v>0</v>
      </c>
      <c r="AF19" s="7">
        <f t="shared" si="24"/>
        <v>0</v>
      </c>
      <c r="AG19" s="43">
        <f t="shared" si="25"/>
        <v>0</v>
      </c>
      <c r="AH19" s="43">
        <f t="shared" si="26"/>
        <v>974</v>
      </c>
      <c r="AI19" s="43">
        <f t="shared" si="27"/>
        <v>0</v>
      </c>
    </row>
    <row r="20" spans="1:35" x14ac:dyDescent="0.25">
      <c r="A20" s="113" t="s">
        <v>184</v>
      </c>
      <c r="C20" t="s">
        <v>845</v>
      </c>
      <c r="D20" t="s">
        <v>838</v>
      </c>
      <c r="F20" s="34">
        <v>2</v>
      </c>
      <c r="G20" s="35">
        <f t="shared" si="14"/>
        <v>20</v>
      </c>
      <c r="H20" s="36">
        <f t="shared" si="15"/>
        <v>2832</v>
      </c>
      <c r="I20" s="37"/>
      <c r="J20" s="140">
        <v>1</v>
      </c>
      <c r="K20" t="s">
        <v>194</v>
      </c>
      <c r="L20" s="24">
        <v>1</v>
      </c>
      <c r="M20" s="38">
        <v>10</v>
      </c>
      <c r="N20" s="39">
        <f>INDEX(Inventory!E:E,MATCH(K20, Inventory!A:A),1)</f>
        <v>1416</v>
      </c>
      <c r="O20" s="40">
        <f t="shared" si="16"/>
        <v>0</v>
      </c>
      <c r="P20" s="41">
        <f t="shared" si="17"/>
        <v>0</v>
      </c>
      <c r="Q20" s="41" cm="1">
        <f t="array" ref="Q20">MAX(IF($A:$A=$A20, $P:$P))</f>
        <v>0</v>
      </c>
      <c r="R20" s="113"/>
      <c r="S20" s="116"/>
      <c r="T20" s="117"/>
      <c r="U20" s="39" t="str">
        <f>IF(S20 &gt; 0,INDEX(Inventory!E:E,MATCH(R20, Inventory!A:A),1), "")</f>
        <v/>
      </c>
      <c r="V20" s="40">
        <f t="shared" si="18"/>
        <v>0</v>
      </c>
      <c r="W20" s="41">
        <f t="shared" si="19"/>
        <v>0</v>
      </c>
      <c r="Z20" s="38"/>
      <c r="AA20" s="39" t="str">
        <f>IF(Y20&gt;0, INDEX(Inventory!E:E,MATCH(X20, Inventory!A:A),1), "")</f>
        <v/>
      </c>
      <c r="AB20" s="42">
        <f t="shared" si="20"/>
        <v>0</v>
      </c>
      <c r="AC20" s="41">
        <f t="shared" si="21"/>
        <v>0</v>
      </c>
      <c r="AD20" s="114">
        <f t="shared" si="22"/>
        <v>20</v>
      </c>
      <c r="AE20" s="7">
        <f t="shared" si="23"/>
        <v>0</v>
      </c>
      <c r="AF20" s="7">
        <f t="shared" si="24"/>
        <v>0</v>
      </c>
      <c r="AG20" s="43">
        <f t="shared" si="25"/>
        <v>2832</v>
      </c>
      <c r="AH20" s="43">
        <f t="shared" si="26"/>
        <v>0</v>
      </c>
      <c r="AI20" s="43">
        <f t="shared" si="27"/>
        <v>0</v>
      </c>
    </row>
    <row r="21" spans="1:35" x14ac:dyDescent="0.25">
      <c r="A21" s="113" t="s">
        <v>723</v>
      </c>
      <c r="C21" t="s">
        <v>846</v>
      </c>
      <c r="D21" t="s">
        <v>838</v>
      </c>
      <c r="F21" s="34">
        <v>2</v>
      </c>
      <c r="G21" s="35">
        <f t="shared" si="14"/>
        <v>0</v>
      </c>
      <c r="H21" s="36">
        <f t="shared" si="15"/>
        <v>7580</v>
      </c>
      <c r="I21" s="51"/>
      <c r="J21" s="140">
        <v>1</v>
      </c>
      <c r="K21" t="s">
        <v>184</v>
      </c>
      <c r="L21" s="24">
        <v>1</v>
      </c>
      <c r="M21" s="38"/>
      <c r="N21" s="39">
        <f>INDEX(Inventory!E:E,MATCH(K21, Inventory!A:A),1)</f>
        <v>3790</v>
      </c>
      <c r="O21" s="40">
        <f t="shared" si="16"/>
        <v>0</v>
      </c>
      <c r="P21" s="41">
        <f t="shared" si="17"/>
        <v>0</v>
      </c>
      <c r="Q21" s="41" cm="1">
        <f t="array" ref="Q21">MAX(IF($A:$A=$A21, $P:$P))</f>
        <v>0</v>
      </c>
      <c r="R21" s="113"/>
      <c r="S21" s="116"/>
      <c r="T21" s="117"/>
      <c r="U21" s="39" t="str">
        <f>IF(S21 &gt; 0,INDEX(Inventory!E:E,MATCH(R21, Inventory!A:A),1), "")</f>
        <v/>
      </c>
      <c r="V21" s="40">
        <f t="shared" si="18"/>
        <v>0</v>
      </c>
      <c r="W21" s="41">
        <f t="shared" si="19"/>
        <v>0</v>
      </c>
      <c r="Z21" s="38"/>
      <c r="AA21" s="39" t="str">
        <f>IF(Y21&gt;0, INDEX(Inventory!E:E,MATCH(X21, Inventory!A:A),1), "")</f>
        <v/>
      </c>
      <c r="AB21" s="42">
        <f t="shared" si="20"/>
        <v>0</v>
      </c>
      <c r="AC21" s="41">
        <f t="shared" si="21"/>
        <v>0</v>
      </c>
      <c r="AD21" s="114">
        <f t="shared" si="22"/>
        <v>0</v>
      </c>
      <c r="AE21" s="7">
        <f t="shared" si="23"/>
        <v>0</v>
      </c>
      <c r="AF21" s="7">
        <f t="shared" si="24"/>
        <v>0</v>
      </c>
      <c r="AG21" s="43">
        <f t="shared" si="25"/>
        <v>7580</v>
      </c>
      <c r="AH21" s="43">
        <f t="shared" si="26"/>
        <v>0</v>
      </c>
      <c r="AI21" s="43">
        <f t="shared" si="27"/>
        <v>0</v>
      </c>
    </row>
    <row r="22" spans="1:35" x14ac:dyDescent="0.25">
      <c r="A22" s="113" t="s">
        <v>723</v>
      </c>
      <c r="C22" t="s">
        <v>846</v>
      </c>
      <c r="D22" t="s">
        <v>838</v>
      </c>
      <c r="F22" s="34">
        <v>2</v>
      </c>
      <c r="G22" s="35">
        <f t="shared" si="14"/>
        <v>0</v>
      </c>
      <c r="H22" s="36">
        <f t="shared" si="15"/>
        <v>8562</v>
      </c>
      <c r="I22" s="51"/>
      <c r="J22" s="140">
        <v>1</v>
      </c>
      <c r="K22" t="s">
        <v>728</v>
      </c>
      <c r="L22" s="24">
        <v>1</v>
      </c>
      <c r="M22" s="38"/>
      <c r="N22" s="39">
        <f>INDEX(Inventory!E:E,MATCH(K22, Inventory!A:A),1)</f>
        <v>4281</v>
      </c>
      <c r="O22" s="40">
        <f t="shared" si="16"/>
        <v>0</v>
      </c>
      <c r="P22" s="41">
        <f t="shared" si="17"/>
        <v>0</v>
      </c>
      <c r="Q22" s="41" cm="1">
        <f t="array" ref="Q22">MAX(IF($A:$A=$A22, $P:$P))</f>
        <v>0</v>
      </c>
      <c r="R22" s="113"/>
      <c r="S22" s="116"/>
      <c r="T22" s="117"/>
      <c r="U22" s="39" t="str">
        <f>IF(S22 &gt; 0,INDEX(Inventory!E:E,MATCH(R22, Inventory!A:A),1), "")</f>
        <v/>
      </c>
      <c r="V22" s="40">
        <f t="shared" si="18"/>
        <v>0</v>
      </c>
      <c r="W22" s="41">
        <f t="shared" si="19"/>
        <v>0</v>
      </c>
      <c r="Z22" s="38"/>
      <c r="AA22" s="39" t="str">
        <f>IF(Y22&gt;0, INDEX(Inventory!E:E,MATCH(X22, Inventory!A:A),1), "")</f>
        <v/>
      </c>
      <c r="AB22" s="42">
        <f t="shared" si="20"/>
        <v>0</v>
      </c>
      <c r="AC22" s="41">
        <f t="shared" si="21"/>
        <v>0</v>
      </c>
      <c r="AD22" s="114">
        <f t="shared" si="22"/>
        <v>0</v>
      </c>
      <c r="AE22" s="7">
        <f t="shared" si="23"/>
        <v>0</v>
      </c>
      <c r="AF22" s="7">
        <f t="shared" si="24"/>
        <v>0</v>
      </c>
      <c r="AG22" s="43">
        <f t="shared" si="25"/>
        <v>8562</v>
      </c>
      <c r="AH22" s="43">
        <f t="shared" si="26"/>
        <v>0</v>
      </c>
      <c r="AI22" s="43">
        <f t="shared" si="27"/>
        <v>0</v>
      </c>
    </row>
    <row r="23" spans="1:35" x14ac:dyDescent="0.25">
      <c r="A23" s="113" t="s">
        <v>723</v>
      </c>
      <c r="C23" t="s">
        <v>846</v>
      </c>
      <c r="D23" t="s">
        <v>838</v>
      </c>
      <c r="F23" s="34">
        <v>2</v>
      </c>
      <c r="G23" s="35">
        <f t="shared" si="14"/>
        <v>0</v>
      </c>
      <c r="H23" s="36">
        <f t="shared" si="15"/>
        <v>30998</v>
      </c>
      <c r="I23" s="51"/>
      <c r="J23" s="140">
        <v>1</v>
      </c>
      <c r="K23" t="s">
        <v>749</v>
      </c>
      <c r="L23" s="24">
        <v>1</v>
      </c>
      <c r="M23" s="38"/>
      <c r="N23" s="39">
        <f>INDEX(Inventory!E:E,MATCH(K23, Inventory!A:A),1)</f>
        <v>15499</v>
      </c>
      <c r="O23" s="40">
        <f t="shared" si="16"/>
        <v>0</v>
      </c>
      <c r="P23" s="41">
        <f t="shared" si="17"/>
        <v>0</v>
      </c>
      <c r="Q23" s="41" cm="1">
        <f t="array" ref="Q23">MAX(IF($A:$A=$A23, $P:$P))</f>
        <v>0</v>
      </c>
      <c r="R23" s="113"/>
      <c r="S23" s="116"/>
      <c r="T23" s="117"/>
      <c r="U23" s="39" t="str">
        <f>IF(S23 &gt; 0,INDEX(Inventory!E:E,MATCH(R23, Inventory!A:A),1), "")</f>
        <v/>
      </c>
      <c r="V23" s="40">
        <f t="shared" si="18"/>
        <v>0</v>
      </c>
      <c r="W23" s="41">
        <f t="shared" si="19"/>
        <v>0</v>
      </c>
      <c r="Z23" s="38"/>
      <c r="AA23" s="39" t="str">
        <f>IF(Y23&gt;0, INDEX(Inventory!E:E,MATCH(X23, Inventory!A:A),1), "")</f>
        <v/>
      </c>
      <c r="AB23" s="42">
        <f t="shared" si="20"/>
        <v>0</v>
      </c>
      <c r="AC23" s="41">
        <f t="shared" si="21"/>
        <v>0</v>
      </c>
      <c r="AD23" s="114">
        <f t="shared" si="22"/>
        <v>0</v>
      </c>
      <c r="AE23" s="7">
        <f t="shared" si="23"/>
        <v>0</v>
      </c>
      <c r="AF23" s="7">
        <f t="shared" si="24"/>
        <v>0</v>
      </c>
      <c r="AG23" s="43">
        <f t="shared" si="25"/>
        <v>30998</v>
      </c>
      <c r="AH23" s="43">
        <f t="shared" si="26"/>
        <v>0</v>
      </c>
      <c r="AI23" s="43">
        <f t="shared" si="27"/>
        <v>0</v>
      </c>
    </row>
    <row r="24" spans="1:35" x14ac:dyDescent="0.25">
      <c r="A24" s="113" t="s">
        <v>723</v>
      </c>
      <c r="C24" t="s">
        <v>846</v>
      </c>
      <c r="D24" t="s">
        <v>838</v>
      </c>
      <c r="F24" s="34">
        <v>2</v>
      </c>
      <c r="G24" s="35">
        <f t="shared" si="14"/>
        <v>0</v>
      </c>
      <c r="H24" s="36">
        <f t="shared" si="15"/>
        <v>86986</v>
      </c>
      <c r="I24" s="51"/>
      <c r="J24" s="140">
        <v>1</v>
      </c>
      <c r="K24" t="s">
        <v>190</v>
      </c>
      <c r="L24" s="24">
        <v>1</v>
      </c>
      <c r="M24" s="38"/>
      <c r="N24" s="39">
        <f>INDEX(Inventory!E:E,MATCH(K24, Inventory!A:A),1)</f>
        <v>43493</v>
      </c>
      <c r="O24" s="40">
        <f t="shared" si="16"/>
        <v>0</v>
      </c>
      <c r="P24" s="41">
        <f t="shared" si="17"/>
        <v>0</v>
      </c>
      <c r="Q24" s="41" cm="1">
        <f t="array" ref="Q24">MAX(IF($A:$A=$A24, $P:$P))</f>
        <v>0</v>
      </c>
      <c r="R24" s="113"/>
      <c r="S24" s="116"/>
      <c r="T24" s="117"/>
      <c r="U24" s="39" t="str">
        <f>IF(S24 &gt; 0,INDEX(Inventory!E:E,MATCH(R24, Inventory!A:A),1), "")</f>
        <v/>
      </c>
      <c r="V24" s="40">
        <f t="shared" si="18"/>
        <v>0</v>
      </c>
      <c r="W24" s="41">
        <f t="shared" si="19"/>
        <v>0</v>
      </c>
      <c r="Z24" s="38"/>
      <c r="AA24" s="39" t="str">
        <f>IF(Y24&gt;0, INDEX(Inventory!E:E,MATCH(X24, Inventory!A:A),1), "")</f>
        <v/>
      </c>
      <c r="AB24" s="42">
        <f t="shared" si="20"/>
        <v>0</v>
      </c>
      <c r="AC24" s="41">
        <f t="shared" si="21"/>
        <v>0</v>
      </c>
      <c r="AD24" s="114">
        <f t="shared" si="22"/>
        <v>0</v>
      </c>
      <c r="AE24" s="7">
        <f t="shared" si="23"/>
        <v>0</v>
      </c>
      <c r="AF24" s="7">
        <f t="shared" si="24"/>
        <v>0</v>
      </c>
      <c r="AG24" s="43">
        <f t="shared" si="25"/>
        <v>86986</v>
      </c>
      <c r="AH24" s="43">
        <f t="shared" si="26"/>
        <v>0</v>
      </c>
      <c r="AI24" s="43">
        <f t="shared" si="27"/>
        <v>0</v>
      </c>
    </row>
    <row r="25" spans="1:35" x14ac:dyDescent="0.25">
      <c r="A25" s="113" t="s">
        <v>723</v>
      </c>
      <c r="C25" t="s">
        <v>846</v>
      </c>
      <c r="D25" t="s">
        <v>838</v>
      </c>
      <c r="F25" s="34">
        <v>1</v>
      </c>
      <c r="G25" s="35">
        <f t="shared" si="14"/>
        <v>0</v>
      </c>
      <c r="H25" s="36">
        <f t="shared" si="15"/>
        <v>9872</v>
      </c>
      <c r="I25" s="51"/>
      <c r="J25" s="140">
        <v>1</v>
      </c>
      <c r="K25" t="s">
        <v>209</v>
      </c>
      <c r="L25" s="24">
        <v>1</v>
      </c>
      <c r="M25" s="38"/>
      <c r="N25" s="39">
        <f>INDEX(Inventory!E:E,MATCH(K25, Inventory!A:A),1)</f>
        <v>9872</v>
      </c>
      <c r="O25" s="40">
        <f t="shared" si="16"/>
        <v>0</v>
      </c>
      <c r="P25" s="41">
        <f t="shared" si="17"/>
        <v>0</v>
      </c>
      <c r="Q25" s="41" cm="1">
        <f t="array" ref="Q25">MAX(IF($A:$A=$A25, $P:$P))</f>
        <v>0</v>
      </c>
      <c r="R25" s="113"/>
      <c r="S25" s="116"/>
      <c r="T25" s="117"/>
      <c r="U25" s="39" t="str">
        <f>IF(S25 &gt; 0,INDEX(Inventory!E:E,MATCH(R25, Inventory!A:A),1), "")</f>
        <v/>
      </c>
      <c r="V25" s="40">
        <f t="shared" si="18"/>
        <v>0</v>
      </c>
      <c r="W25" s="41">
        <f t="shared" si="19"/>
        <v>0</v>
      </c>
      <c r="Z25" s="38"/>
      <c r="AA25" s="39" t="str">
        <f>IF(Y25&gt;0, INDEX(Inventory!E:E,MATCH(X25, Inventory!A:A),1), "")</f>
        <v/>
      </c>
      <c r="AB25" s="42">
        <f t="shared" si="20"/>
        <v>0</v>
      </c>
      <c r="AC25" s="41">
        <f t="shared" si="21"/>
        <v>0</v>
      </c>
      <c r="AD25" s="114">
        <f t="shared" si="22"/>
        <v>0</v>
      </c>
      <c r="AE25" s="7">
        <f t="shared" si="23"/>
        <v>0</v>
      </c>
      <c r="AF25" s="7">
        <f t="shared" si="24"/>
        <v>0</v>
      </c>
      <c r="AG25" s="43">
        <f t="shared" si="25"/>
        <v>9872</v>
      </c>
      <c r="AH25" s="43">
        <f t="shared" si="26"/>
        <v>0</v>
      </c>
      <c r="AI25" s="43">
        <f t="shared" si="27"/>
        <v>0</v>
      </c>
    </row>
    <row r="26" spans="1:35" x14ac:dyDescent="0.25">
      <c r="A26" s="113" t="s">
        <v>723</v>
      </c>
      <c r="C26" t="s">
        <v>846</v>
      </c>
      <c r="D26" t="s">
        <v>838</v>
      </c>
      <c r="F26" s="34">
        <v>2</v>
      </c>
      <c r="G26" s="35">
        <f t="shared" si="14"/>
        <v>0</v>
      </c>
      <c r="H26" s="36">
        <f t="shared" si="15"/>
        <v>18332</v>
      </c>
      <c r="I26" s="51"/>
      <c r="J26" s="140">
        <v>1</v>
      </c>
      <c r="K26" t="s">
        <v>198</v>
      </c>
      <c r="L26" s="24">
        <v>1</v>
      </c>
      <c r="M26" s="38"/>
      <c r="N26" s="39">
        <f>INDEX(Inventory!E:E,MATCH(K26, Inventory!A:A),1)</f>
        <v>9166</v>
      </c>
      <c r="O26" s="40">
        <f t="shared" si="16"/>
        <v>0</v>
      </c>
      <c r="P26" s="41">
        <f t="shared" si="17"/>
        <v>0</v>
      </c>
      <c r="Q26" s="41" cm="1">
        <f t="array" ref="Q26">MAX(IF($A:$A=$A26, $P:$P))</f>
        <v>0</v>
      </c>
      <c r="R26" s="113"/>
      <c r="S26" s="116"/>
      <c r="T26" s="117"/>
      <c r="U26" s="39" t="str">
        <f>IF(S26 &gt; 0,INDEX(Inventory!E:E,MATCH(R26, Inventory!A:A),1), "")</f>
        <v/>
      </c>
      <c r="V26" s="40">
        <f t="shared" si="18"/>
        <v>0</v>
      </c>
      <c r="W26" s="41">
        <f t="shared" si="19"/>
        <v>0</v>
      </c>
      <c r="Z26" s="38"/>
      <c r="AA26" s="39" t="str">
        <f>IF(Y26&gt;0, INDEX(Inventory!E:E,MATCH(X26, Inventory!A:A),1), "")</f>
        <v/>
      </c>
      <c r="AB26" s="42">
        <f t="shared" si="20"/>
        <v>0</v>
      </c>
      <c r="AC26" s="41">
        <f t="shared" si="21"/>
        <v>0</v>
      </c>
      <c r="AD26" s="114">
        <f t="shared" si="22"/>
        <v>0</v>
      </c>
      <c r="AE26" s="7">
        <f t="shared" si="23"/>
        <v>0</v>
      </c>
      <c r="AF26" s="7">
        <f t="shared" si="24"/>
        <v>0</v>
      </c>
      <c r="AG26" s="43">
        <f t="shared" si="25"/>
        <v>18332</v>
      </c>
      <c r="AH26" s="43">
        <f t="shared" si="26"/>
        <v>0</v>
      </c>
      <c r="AI26" s="43">
        <f t="shared" si="27"/>
        <v>0</v>
      </c>
    </row>
    <row r="27" spans="1:35" x14ac:dyDescent="0.25">
      <c r="A27" s="113" t="s">
        <v>723</v>
      </c>
      <c r="C27" t="s">
        <v>846</v>
      </c>
      <c r="D27" t="s">
        <v>838</v>
      </c>
      <c r="F27" s="34">
        <v>2</v>
      </c>
      <c r="G27" s="35">
        <f t="shared" si="14"/>
        <v>0</v>
      </c>
      <c r="H27" s="36">
        <f t="shared" si="15"/>
        <v>38336</v>
      </c>
      <c r="I27" s="51"/>
      <c r="J27" s="140">
        <v>1</v>
      </c>
      <c r="K27" t="s">
        <v>199</v>
      </c>
      <c r="L27" s="24">
        <v>1</v>
      </c>
      <c r="M27" s="38"/>
      <c r="N27" s="39">
        <f>INDEX(Inventory!E:E,MATCH(K27, Inventory!A:A),1)</f>
        <v>19168</v>
      </c>
      <c r="O27" s="40">
        <f t="shared" si="16"/>
        <v>0</v>
      </c>
      <c r="P27" s="41">
        <f t="shared" si="17"/>
        <v>0</v>
      </c>
      <c r="Q27" s="41" cm="1">
        <f t="array" ref="Q27">MAX(IF($A:$A=$A27, $P:$P))</f>
        <v>0</v>
      </c>
      <c r="R27" s="113"/>
      <c r="S27" s="116"/>
      <c r="T27" s="117"/>
      <c r="U27" s="39" t="str">
        <f>IF(S27 &gt; 0,INDEX(Inventory!E:E,MATCH(R27, Inventory!A:A),1), "")</f>
        <v/>
      </c>
      <c r="V27" s="40">
        <f t="shared" si="18"/>
        <v>0</v>
      </c>
      <c r="W27" s="41">
        <f t="shared" si="19"/>
        <v>0</v>
      </c>
      <c r="Z27" s="38"/>
      <c r="AA27" s="39" t="str">
        <f>IF(Y27&gt;0, INDEX(Inventory!E:E,MATCH(X27, Inventory!A:A),1), "")</f>
        <v/>
      </c>
      <c r="AB27" s="42">
        <f t="shared" si="20"/>
        <v>0</v>
      </c>
      <c r="AC27" s="41">
        <f t="shared" si="21"/>
        <v>0</v>
      </c>
      <c r="AD27" s="114">
        <f t="shared" si="22"/>
        <v>0</v>
      </c>
      <c r="AE27" s="7">
        <f t="shared" si="23"/>
        <v>0</v>
      </c>
      <c r="AF27" s="7">
        <f t="shared" si="24"/>
        <v>0</v>
      </c>
      <c r="AG27" s="43">
        <f t="shared" si="25"/>
        <v>38336</v>
      </c>
      <c r="AH27" s="43">
        <f t="shared" si="26"/>
        <v>0</v>
      </c>
      <c r="AI27" s="43">
        <f t="shared" si="27"/>
        <v>0</v>
      </c>
    </row>
    <row r="28" spans="1:35" x14ac:dyDescent="0.25">
      <c r="A28" s="113" t="s">
        <v>725</v>
      </c>
      <c r="C28" t="s">
        <v>837</v>
      </c>
      <c r="D28" t="s">
        <v>838</v>
      </c>
      <c r="F28" s="138">
        <v>2</v>
      </c>
      <c r="G28" s="139">
        <f t="shared" si="14"/>
        <v>0</v>
      </c>
      <c r="H28" s="36">
        <f t="shared" si="15"/>
        <v>2102</v>
      </c>
      <c r="I28" s="37"/>
      <c r="J28" s="140">
        <v>2</v>
      </c>
      <c r="K28" t="s">
        <v>761</v>
      </c>
      <c r="L28" s="24">
        <v>1</v>
      </c>
      <c r="M28" s="38"/>
      <c r="N28" s="39">
        <f>INDEX(Inventory!E:E,MATCH(K28, Inventory!A:A),1)</f>
        <v>1051</v>
      </c>
      <c r="O28" s="40">
        <f t="shared" si="16"/>
        <v>0</v>
      </c>
      <c r="P28" s="41">
        <f t="shared" si="17"/>
        <v>0</v>
      </c>
      <c r="Q28" s="41" cm="1">
        <f t="array" ref="Q28">MAX(IF($A:$A=$A28, $P:$P))</f>
        <v>0</v>
      </c>
      <c r="R28" s="113" t="s">
        <v>725</v>
      </c>
      <c r="S28" s="116">
        <v>1</v>
      </c>
      <c r="T28" s="117"/>
      <c r="U28" s="39">
        <f>IF(S28 &gt; 0,INDEX(Inventory!E:E,MATCH(R28, Inventory!A:A),1), "")</f>
        <v>6476</v>
      </c>
      <c r="V28" s="40">
        <f t="shared" si="18"/>
        <v>0</v>
      </c>
      <c r="W28" s="41">
        <f t="shared" si="19"/>
        <v>0</v>
      </c>
      <c r="Z28" s="38"/>
      <c r="AA28" s="39" t="str">
        <f>IF(Y28&gt;0, INDEX(Inventory!E:E,MATCH(X28, Inventory!A:A),1), "")</f>
        <v/>
      </c>
      <c r="AB28" s="42">
        <f t="shared" si="20"/>
        <v>0</v>
      </c>
      <c r="AC28" s="41">
        <f t="shared" si="21"/>
        <v>0</v>
      </c>
      <c r="AD28" s="114">
        <f t="shared" si="22"/>
        <v>0</v>
      </c>
      <c r="AE28" s="7">
        <f t="shared" si="23"/>
        <v>0</v>
      </c>
      <c r="AF28" s="7">
        <f t="shared" si="24"/>
        <v>0</v>
      </c>
      <c r="AG28" s="43">
        <f t="shared" si="25"/>
        <v>0</v>
      </c>
      <c r="AH28" s="43">
        <f t="shared" si="26"/>
        <v>2102</v>
      </c>
      <c r="AI28" s="43">
        <f t="shared" si="27"/>
        <v>0</v>
      </c>
    </row>
    <row r="29" spans="1:35" x14ac:dyDescent="0.25">
      <c r="A29" s="113" t="s">
        <v>725</v>
      </c>
      <c r="C29" t="s">
        <v>837</v>
      </c>
      <c r="D29" t="s">
        <v>838</v>
      </c>
      <c r="F29" s="138">
        <v>6</v>
      </c>
      <c r="G29" s="139">
        <f t="shared" si="14"/>
        <v>0</v>
      </c>
      <c r="H29" s="36">
        <f t="shared" si="15"/>
        <v>29616</v>
      </c>
      <c r="I29" s="37"/>
      <c r="J29" s="140">
        <v>2</v>
      </c>
      <c r="K29" t="s">
        <v>725</v>
      </c>
      <c r="L29" s="24">
        <v>1</v>
      </c>
      <c r="M29" s="38"/>
      <c r="N29" s="39">
        <f>INDEX(Inventory!E:E,MATCH(K29, Inventory!A:A),1)</f>
        <v>6476</v>
      </c>
      <c r="O29" s="40">
        <f t="shared" si="16"/>
        <v>0</v>
      </c>
      <c r="P29" s="41">
        <f t="shared" si="17"/>
        <v>0</v>
      </c>
      <c r="Q29" s="41" cm="1">
        <f t="array" ref="Q29">MAX(IF($A:$A=$A29, $P:$P))</f>
        <v>0</v>
      </c>
      <c r="R29" s="113" t="s">
        <v>209</v>
      </c>
      <c r="S29" s="116">
        <v>2</v>
      </c>
      <c r="T29" s="117"/>
      <c r="U29" s="39">
        <f>IF(S29 &gt; 0,INDEX(Inventory!E:E,MATCH(R29, Inventory!A:A),1), "")</f>
        <v>9872</v>
      </c>
      <c r="V29" s="40">
        <f t="shared" si="18"/>
        <v>0</v>
      </c>
      <c r="W29" s="41">
        <f t="shared" si="19"/>
        <v>0</v>
      </c>
      <c r="Z29" s="38"/>
      <c r="AA29" s="39" t="str">
        <f>IF(Y29&gt;0, INDEX(Inventory!E:E,MATCH(X29, Inventory!A:A),1), "")</f>
        <v/>
      </c>
      <c r="AB29" s="42">
        <f t="shared" si="20"/>
        <v>0</v>
      </c>
      <c r="AC29" s="41">
        <f t="shared" si="21"/>
        <v>0</v>
      </c>
      <c r="AD29" s="114">
        <f t="shared" si="22"/>
        <v>0</v>
      </c>
      <c r="AE29" s="7">
        <f t="shared" si="23"/>
        <v>0</v>
      </c>
      <c r="AF29" s="7">
        <f t="shared" si="24"/>
        <v>0</v>
      </c>
      <c r="AG29" s="43">
        <f t="shared" si="25"/>
        <v>0</v>
      </c>
      <c r="AH29" s="43">
        <f t="shared" si="26"/>
        <v>29616</v>
      </c>
      <c r="AI29" s="43">
        <f t="shared" si="27"/>
        <v>0</v>
      </c>
    </row>
    <row r="30" spans="1:35" x14ac:dyDescent="0.25">
      <c r="A30" s="113" t="s">
        <v>725</v>
      </c>
      <c r="C30" t="s">
        <v>837</v>
      </c>
      <c r="D30" t="s">
        <v>838</v>
      </c>
      <c r="F30" s="138">
        <v>2</v>
      </c>
      <c r="G30" s="139">
        <f t="shared" si="14"/>
        <v>0</v>
      </c>
      <c r="H30" s="36">
        <f t="shared" si="15"/>
        <v>2102</v>
      </c>
      <c r="I30" s="37"/>
      <c r="J30" s="140">
        <v>2</v>
      </c>
      <c r="K30" t="s">
        <v>761</v>
      </c>
      <c r="L30" s="24">
        <v>1</v>
      </c>
      <c r="M30" s="38"/>
      <c r="N30" s="52">
        <f>INDEX(Inventory!E:E,MATCH(K30, Inventory!A:A),1)</f>
        <v>1051</v>
      </c>
      <c r="O30" s="40">
        <f t="shared" si="16"/>
        <v>0</v>
      </c>
      <c r="P30" s="41">
        <f t="shared" si="17"/>
        <v>0</v>
      </c>
      <c r="Q30" s="41" cm="1">
        <f t="array" ref="Q30">MAX(IF($A:$A=$A30, $P:$P))</f>
        <v>0</v>
      </c>
      <c r="R30" s="113" t="s">
        <v>209</v>
      </c>
      <c r="S30" s="116">
        <v>1</v>
      </c>
      <c r="T30" s="117"/>
      <c r="U30" s="39">
        <f>IF(S30 &gt; 0,INDEX(Inventory!E:E,MATCH(R30, Inventory!A:A),1), "")</f>
        <v>9872</v>
      </c>
      <c r="V30" s="40">
        <f t="shared" si="18"/>
        <v>0</v>
      </c>
      <c r="W30" s="41">
        <f t="shared" si="19"/>
        <v>0</v>
      </c>
      <c r="Z30" s="38"/>
      <c r="AA30" s="39" t="str">
        <f>IF(Y30&gt;0, INDEX(Inventory!E:E,MATCH(X30, Inventory!A:A),1), "")</f>
        <v/>
      </c>
      <c r="AB30" s="42">
        <f t="shared" si="20"/>
        <v>0</v>
      </c>
      <c r="AC30" s="41">
        <f t="shared" si="21"/>
        <v>0</v>
      </c>
      <c r="AD30" s="114">
        <f t="shared" si="22"/>
        <v>0</v>
      </c>
      <c r="AE30" s="7">
        <f t="shared" si="23"/>
        <v>0</v>
      </c>
      <c r="AF30" s="7">
        <f t="shared" si="24"/>
        <v>0</v>
      </c>
      <c r="AG30" s="43">
        <f t="shared" si="25"/>
        <v>0</v>
      </c>
      <c r="AH30" s="43">
        <f t="shared" si="26"/>
        <v>2102</v>
      </c>
      <c r="AI30" s="43">
        <f t="shared" si="27"/>
        <v>0</v>
      </c>
    </row>
    <row r="31" spans="1:35" x14ac:dyDescent="0.25">
      <c r="A31" s="113" t="s">
        <v>725</v>
      </c>
      <c r="C31" t="s">
        <v>837</v>
      </c>
      <c r="D31" t="s">
        <v>838</v>
      </c>
      <c r="F31" s="138">
        <v>5</v>
      </c>
      <c r="G31" s="139">
        <f t="shared" si="14"/>
        <v>5</v>
      </c>
      <c r="H31" s="36">
        <f t="shared" si="15"/>
        <v>24680</v>
      </c>
      <c r="I31" s="37"/>
      <c r="J31" s="140">
        <v>2</v>
      </c>
      <c r="K31" t="s">
        <v>195</v>
      </c>
      <c r="L31" s="24">
        <v>2</v>
      </c>
      <c r="M31" s="38">
        <v>2</v>
      </c>
      <c r="N31" s="39">
        <f>INDEX(Inventory!E:E,MATCH(K31, Inventory!A:A),1)</f>
        <v>15125</v>
      </c>
      <c r="O31" s="40">
        <f t="shared" si="16"/>
        <v>0</v>
      </c>
      <c r="P31" s="41">
        <f t="shared" si="17"/>
        <v>0</v>
      </c>
      <c r="Q31" s="41" cm="1">
        <f t="array" ref="Q31">MAX(IF($A:$A=$A31, $P:$P))</f>
        <v>0</v>
      </c>
      <c r="R31" s="113" t="s">
        <v>209</v>
      </c>
      <c r="S31" s="116">
        <v>2</v>
      </c>
      <c r="T31" s="117">
        <v>2</v>
      </c>
      <c r="U31" s="39">
        <f>IF(S31 &gt; 0,INDEX(Inventory!E:E,MATCH(R31, Inventory!A:A),1), "")</f>
        <v>9872</v>
      </c>
      <c r="V31" s="40">
        <f t="shared" si="18"/>
        <v>0</v>
      </c>
      <c r="W31" s="41">
        <f t="shared" si="19"/>
        <v>0</v>
      </c>
      <c r="Z31" s="38"/>
      <c r="AA31" s="39" t="str">
        <f>IF(Y31&gt;0, INDEX(Inventory!E:E,MATCH(X31, Inventory!A:A),1), "")</f>
        <v/>
      </c>
      <c r="AB31" s="42">
        <f t="shared" si="20"/>
        <v>0</v>
      </c>
      <c r="AC31" s="41">
        <f t="shared" si="21"/>
        <v>0</v>
      </c>
      <c r="AD31" s="114">
        <f t="shared" si="22"/>
        <v>0</v>
      </c>
      <c r="AE31" s="7">
        <f t="shared" si="23"/>
        <v>5</v>
      </c>
      <c r="AF31" s="7">
        <f t="shared" si="24"/>
        <v>0</v>
      </c>
      <c r="AG31" s="43">
        <f t="shared" si="25"/>
        <v>0</v>
      </c>
      <c r="AH31" s="43">
        <f t="shared" si="26"/>
        <v>24680</v>
      </c>
      <c r="AI31" s="43">
        <f t="shared" si="27"/>
        <v>0</v>
      </c>
    </row>
    <row r="32" spans="1:35" x14ac:dyDescent="0.25">
      <c r="A32" s="113" t="s">
        <v>725</v>
      </c>
      <c r="C32" t="s">
        <v>837</v>
      </c>
      <c r="D32" t="s">
        <v>838</v>
      </c>
      <c r="F32" s="138">
        <v>2</v>
      </c>
      <c r="G32" s="139">
        <f t="shared" si="14"/>
        <v>0</v>
      </c>
      <c r="H32" s="36">
        <f t="shared" si="15"/>
        <v>2102</v>
      </c>
      <c r="I32" s="37"/>
      <c r="J32" s="140">
        <v>2</v>
      </c>
      <c r="K32" t="s">
        <v>761</v>
      </c>
      <c r="L32" s="24">
        <v>1</v>
      </c>
      <c r="M32" s="38"/>
      <c r="N32" s="39">
        <f>INDEX(Inventory!E:E,MATCH(K32, Inventory!A:A),1)</f>
        <v>1051</v>
      </c>
      <c r="O32" s="40">
        <f t="shared" si="16"/>
        <v>0</v>
      </c>
      <c r="P32" s="41">
        <f t="shared" si="17"/>
        <v>0</v>
      </c>
      <c r="Q32" s="41" cm="1">
        <f t="array" ref="Q32">MAX(IF($A:$A=$A32, $P:$P))</f>
        <v>0</v>
      </c>
      <c r="R32" s="113" t="s">
        <v>777</v>
      </c>
      <c r="S32" s="116">
        <v>1</v>
      </c>
      <c r="T32" s="117"/>
      <c r="U32" s="39">
        <f>IF(S32 &gt; 0,INDEX(Inventory!E:E,MATCH(R32, Inventory!A:A),1), "")</f>
        <v>4839</v>
      </c>
      <c r="V32" s="40">
        <f t="shared" si="18"/>
        <v>0</v>
      </c>
      <c r="W32" s="41">
        <f t="shared" si="19"/>
        <v>0</v>
      </c>
      <c r="Z32" s="38"/>
      <c r="AA32" s="39" t="str">
        <f>IF(Y32&gt;0, INDEX(Inventory!E:E,MATCH(X32, Inventory!A:A),1), "")</f>
        <v/>
      </c>
      <c r="AB32" s="42">
        <f t="shared" si="20"/>
        <v>0</v>
      </c>
      <c r="AC32" s="41">
        <f t="shared" si="21"/>
        <v>0</v>
      </c>
      <c r="AD32" s="114">
        <f t="shared" si="22"/>
        <v>0</v>
      </c>
      <c r="AE32" s="7">
        <f t="shared" si="23"/>
        <v>0</v>
      </c>
      <c r="AF32" s="7">
        <f t="shared" si="24"/>
        <v>0</v>
      </c>
      <c r="AG32" s="43">
        <f t="shared" si="25"/>
        <v>0</v>
      </c>
      <c r="AH32" s="43">
        <f t="shared" si="26"/>
        <v>2102</v>
      </c>
      <c r="AI32" s="43">
        <f t="shared" si="27"/>
        <v>0</v>
      </c>
    </row>
    <row r="33" spans="1:35" x14ac:dyDescent="0.25">
      <c r="A33" s="113" t="s">
        <v>725</v>
      </c>
      <c r="C33" t="s">
        <v>837</v>
      </c>
      <c r="D33" t="s">
        <v>838</v>
      </c>
      <c r="F33" s="138">
        <v>2</v>
      </c>
      <c r="G33" s="139">
        <f t="shared" si="14"/>
        <v>0</v>
      </c>
      <c r="H33" s="36">
        <f t="shared" si="15"/>
        <v>2102</v>
      </c>
      <c r="I33" s="37"/>
      <c r="J33" s="140">
        <v>2</v>
      </c>
      <c r="K33" t="s">
        <v>761</v>
      </c>
      <c r="L33" s="24">
        <v>1</v>
      </c>
      <c r="M33" s="38"/>
      <c r="N33" s="39">
        <f>INDEX(Inventory!E:E,MATCH(K33, Inventory!A:A),1)</f>
        <v>1051</v>
      </c>
      <c r="O33" s="40">
        <f t="shared" si="16"/>
        <v>0</v>
      </c>
      <c r="P33" s="41">
        <f t="shared" si="17"/>
        <v>0</v>
      </c>
      <c r="Q33" s="41" cm="1">
        <f t="array" ref="Q33">MAX(IF($A:$A=$A33, $P:$P))</f>
        <v>0</v>
      </c>
      <c r="R33" s="113" t="s">
        <v>195</v>
      </c>
      <c r="S33" s="116">
        <v>1</v>
      </c>
      <c r="T33" s="117"/>
      <c r="U33" s="39">
        <f>IF(S33 &gt; 0,INDEX(Inventory!E:E,MATCH(R33, Inventory!A:A),1), "")</f>
        <v>15125</v>
      </c>
      <c r="V33" s="40">
        <f t="shared" si="18"/>
        <v>0</v>
      </c>
      <c r="W33" s="41">
        <f t="shared" si="19"/>
        <v>0</v>
      </c>
      <c r="Z33" s="38"/>
      <c r="AA33" s="39" t="str">
        <f>IF(Y33&gt;0, INDEX(Inventory!E:E,MATCH(X33, Inventory!A:A),1), "")</f>
        <v/>
      </c>
      <c r="AB33" s="42">
        <f t="shared" si="20"/>
        <v>0</v>
      </c>
      <c r="AC33" s="41">
        <f t="shared" si="21"/>
        <v>0</v>
      </c>
      <c r="AD33" s="114">
        <f t="shared" si="22"/>
        <v>0</v>
      </c>
      <c r="AE33" s="7">
        <f t="shared" si="23"/>
        <v>0</v>
      </c>
      <c r="AF33" s="7">
        <f t="shared" si="24"/>
        <v>0</v>
      </c>
      <c r="AG33" s="43">
        <f t="shared" si="25"/>
        <v>0</v>
      </c>
      <c r="AH33" s="43">
        <f t="shared" si="26"/>
        <v>2102</v>
      </c>
      <c r="AI33" s="43">
        <f t="shared" si="27"/>
        <v>0</v>
      </c>
    </row>
    <row r="34" spans="1:35" x14ac:dyDescent="0.25">
      <c r="A34" s="113" t="s">
        <v>725</v>
      </c>
      <c r="C34" t="s">
        <v>837</v>
      </c>
      <c r="D34" t="s">
        <v>838</v>
      </c>
      <c r="F34" s="34">
        <v>1</v>
      </c>
      <c r="G34" s="35">
        <f t="shared" si="14"/>
        <v>0</v>
      </c>
      <c r="H34" s="36">
        <f t="shared" si="15"/>
        <v>7562</v>
      </c>
      <c r="I34" s="37"/>
      <c r="J34" s="140">
        <v>1</v>
      </c>
      <c r="K34" t="s">
        <v>195</v>
      </c>
      <c r="L34" s="24">
        <v>2</v>
      </c>
      <c r="M34" s="38"/>
      <c r="N34" s="39">
        <f>INDEX(Inventory!E:E,MATCH(K34, Inventory!A:A),1)</f>
        <v>15125</v>
      </c>
      <c r="O34" s="40">
        <f t="shared" si="16"/>
        <v>0</v>
      </c>
      <c r="P34" s="41">
        <f t="shared" si="17"/>
        <v>0</v>
      </c>
      <c r="Q34" s="41" cm="1">
        <f t="array" ref="Q34">MAX(IF($A:$A=$A34, $P:$P))</f>
        <v>0</v>
      </c>
      <c r="R34" s="113"/>
      <c r="S34" s="116"/>
      <c r="T34" s="117"/>
      <c r="U34" s="39" t="str">
        <f>IF(S34 &gt; 0,INDEX(Inventory!E:E,MATCH(R34, Inventory!A:A),1), "")</f>
        <v/>
      </c>
      <c r="V34" s="40">
        <f t="shared" si="18"/>
        <v>0</v>
      </c>
      <c r="W34" s="41">
        <f t="shared" si="19"/>
        <v>0</v>
      </c>
      <c r="Z34" s="38"/>
      <c r="AA34" s="39" t="str">
        <f>IF(Y34&gt;0, INDEX(Inventory!E:E,MATCH(X34, Inventory!A:A),1), "")</f>
        <v/>
      </c>
      <c r="AB34" s="42">
        <f t="shared" si="20"/>
        <v>0</v>
      </c>
      <c r="AC34" s="41">
        <f t="shared" si="21"/>
        <v>0</v>
      </c>
      <c r="AD34" s="114">
        <f t="shared" si="22"/>
        <v>0</v>
      </c>
      <c r="AE34" s="7">
        <f t="shared" si="23"/>
        <v>0</v>
      </c>
      <c r="AF34" s="7">
        <f t="shared" si="24"/>
        <v>0</v>
      </c>
      <c r="AG34" s="43">
        <f t="shared" si="25"/>
        <v>7562.5</v>
      </c>
      <c r="AH34" s="43">
        <f t="shared" si="26"/>
        <v>0</v>
      </c>
      <c r="AI34" s="43">
        <f t="shared" si="27"/>
        <v>0</v>
      </c>
    </row>
    <row r="35" spans="1:35" x14ac:dyDescent="0.25">
      <c r="A35" s="113" t="s">
        <v>727</v>
      </c>
      <c r="C35" t="s">
        <v>847</v>
      </c>
      <c r="D35" t="s">
        <v>833</v>
      </c>
      <c r="F35" s="34">
        <v>1</v>
      </c>
      <c r="G35" s="35">
        <f t="shared" si="14"/>
        <v>0</v>
      </c>
      <c r="H35" s="36">
        <f t="shared" si="15"/>
        <v>0</v>
      </c>
      <c r="I35" s="37"/>
      <c r="J35" s="140">
        <v>2</v>
      </c>
      <c r="K35" t="s">
        <v>754</v>
      </c>
      <c r="L35" s="24">
        <v>1</v>
      </c>
      <c r="M35" s="38"/>
      <c r="N35" s="39">
        <f>INDEX(Inventory!E:E,MATCH(K35, Inventory!A:A),1)</f>
        <v>2</v>
      </c>
      <c r="O35" s="40">
        <f t="shared" si="16"/>
        <v>0</v>
      </c>
      <c r="P35" s="41">
        <f t="shared" si="17"/>
        <v>0</v>
      </c>
      <c r="Q35" s="41" cm="1">
        <f t="array" ref="Q35">MAX(IF($A:$A=$A35, $P:$P))</f>
        <v>0</v>
      </c>
      <c r="R35" s="113" t="s">
        <v>775</v>
      </c>
      <c r="S35" s="116">
        <v>1</v>
      </c>
      <c r="T35" s="117"/>
      <c r="U35" s="39">
        <f>IF(S35 &gt; 0,INDEX(Inventory!E:E,MATCH(R35, Inventory!A:A),1), "")</f>
        <v>0</v>
      </c>
      <c r="V35" s="40">
        <f t="shared" si="18"/>
        <v>0</v>
      </c>
      <c r="W35" s="41">
        <f t="shared" si="19"/>
        <v>0</v>
      </c>
      <c r="Z35" s="38"/>
      <c r="AA35" s="39" t="str">
        <f>IF(Y35&gt;0, INDEX(Inventory!E:E,MATCH(X35, Inventory!A:A),1), "")</f>
        <v/>
      </c>
      <c r="AB35" s="42">
        <f t="shared" si="20"/>
        <v>0</v>
      </c>
      <c r="AC35" s="41">
        <f t="shared" si="21"/>
        <v>0</v>
      </c>
      <c r="AD35" s="114">
        <f t="shared" si="22"/>
        <v>0</v>
      </c>
      <c r="AE35" s="7">
        <f t="shared" si="23"/>
        <v>0</v>
      </c>
      <c r="AF35" s="7">
        <f t="shared" si="24"/>
        <v>0</v>
      </c>
      <c r="AG35" s="43">
        <f t="shared" si="25"/>
        <v>0</v>
      </c>
      <c r="AH35" s="43">
        <f t="shared" si="26"/>
        <v>0</v>
      </c>
      <c r="AI35" s="43">
        <f t="shared" si="27"/>
        <v>0</v>
      </c>
    </row>
    <row r="36" spans="1:35" x14ac:dyDescent="0.25">
      <c r="A36" s="113" t="s">
        <v>186</v>
      </c>
      <c r="C36" t="s">
        <v>837</v>
      </c>
      <c r="D36" t="s">
        <v>838</v>
      </c>
      <c r="F36" s="34">
        <v>2</v>
      </c>
      <c r="G36" s="35">
        <f t="shared" ref="G36:G67" si="28">MAX(AD36:AF36)</f>
        <v>0</v>
      </c>
      <c r="H36" s="36">
        <f t="shared" ref="H36:H67" si="29">ROUNDDOWN(MAX(AG36:AI36),0)</f>
        <v>5672</v>
      </c>
      <c r="I36" s="51"/>
      <c r="J36" s="140">
        <v>1</v>
      </c>
      <c r="K36" t="s">
        <v>759</v>
      </c>
      <c r="L36" s="24">
        <v>1</v>
      </c>
      <c r="M36" s="38"/>
      <c r="N36" s="39">
        <f>INDEX(Inventory!E:E,MATCH(K36, Inventory!A:A),1)</f>
        <v>2836</v>
      </c>
      <c r="O36" s="40">
        <f t="shared" ref="O36:O67" si="30">I36/F36*L36</f>
        <v>0</v>
      </c>
      <c r="P36" s="41">
        <f t="shared" ref="P36:P67" si="31">IF(ISBLANK(I36), 0, N36/O36)</f>
        <v>0</v>
      </c>
      <c r="Q36" s="41" cm="1">
        <f t="array" ref="Q36">MAX(IF($A:$A=$A36, $P:$P))</f>
        <v>0</v>
      </c>
      <c r="R36" s="113"/>
      <c r="S36" s="116"/>
      <c r="T36" s="117"/>
      <c r="U36" s="39" t="str">
        <f>IF(S36 &gt; 0,INDEX(Inventory!E:E,MATCH(R36, Inventory!A:A),1), "")</f>
        <v/>
      </c>
      <c r="V36" s="40">
        <f t="shared" ref="V36:V67" si="32">I36/F36*S36</f>
        <v>0</v>
      </c>
      <c r="W36" s="41">
        <f t="shared" ref="W36:W67" si="33">IF(ISBLANK(I36),0,IF(ISBLANK(S36),0,U36/V36))</f>
        <v>0</v>
      </c>
      <c r="Z36" s="38"/>
      <c r="AA36" s="39" t="str">
        <f>IF(Y36&gt;0, INDEX(Inventory!E:E,MATCH(X36, Inventory!A:A),1), "")</f>
        <v/>
      </c>
      <c r="AB36" s="42">
        <f t="shared" ref="AB36:AB67" si="34">I36/F36*Y36</f>
        <v>0</v>
      </c>
      <c r="AC36" s="41">
        <f t="shared" ref="AC36:AC67" si="35">IF(ISBLANK(I36), 0, IF(ISBLANK(Y36), 0, AA36/AB36))</f>
        <v>0</v>
      </c>
      <c r="AD36" s="114">
        <f t="shared" ref="AD36:AD67" si="36">IF(J36=1, M36/L36*F36, 0)</f>
        <v>0</v>
      </c>
      <c r="AE36" s="7">
        <f t="shared" ref="AE36:AE67" si="37">IF(J36=2, MIN(M36/L36, T36/S36)* F36,0)</f>
        <v>0</v>
      </c>
      <c r="AF36" s="7">
        <f t="shared" ref="AF36:AF67" si="38">IF(J36=3, MIN(M36/L36, T36/S36, Z36/Y36) * F36, 0)</f>
        <v>0</v>
      </c>
      <c r="AG36" s="43">
        <f t="shared" ref="AG36:AG67" si="39">IF(J36=1, N36/L36*F36, 0)</f>
        <v>5672</v>
      </c>
      <c r="AH36" s="43">
        <f t="shared" ref="AH36:AH67" si="40">IF(J36=2,MIN(N36/L36, U36/S36)* F36,0)</f>
        <v>0</v>
      </c>
      <c r="AI36" s="43">
        <f t="shared" ref="AI36:AI67" si="41">IF(J36=3, MIN(N36/L36, U36/S36, AA36/Y36) * F36, 0)</f>
        <v>0</v>
      </c>
    </row>
    <row r="37" spans="1:35" x14ac:dyDescent="0.25">
      <c r="A37" s="113" t="s">
        <v>728</v>
      </c>
      <c r="C37" t="s">
        <v>848</v>
      </c>
      <c r="D37" t="s">
        <v>838</v>
      </c>
      <c r="F37" s="34">
        <v>1</v>
      </c>
      <c r="G37" s="35">
        <f t="shared" si="28"/>
        <v>0</v>
      </c>
      <c r="H37" s="36">
        <f t="shared" si="29"/>
        <v>963</v>
      </c>
      <c r="I37" s="51"/>
      <c r="J37" s="140">
        <v>1</v>
      </c>
      <c r="K37" t="s">
        <v>723</v>
      </c>
      <c r="L37" s="24">
        <v>2</v>
      </c>
      <c r="M37" s="38"/>
      <c r="N37" s="39">
        <f>INDEX(Inventory!E:E,MATCH(K37, Inventory!A:A),1)</f>
        <v>1926</v>
      </c>
      <c r="O37" s="40">
        <f t="shared" si="30"/>
        <v>0</v>
      </c>
      <c r="P37" s="41">
        <f t="shared" si="31"/>
        <v>0</v>
      </c>
      <c r="Q37" s="41" cm="1">
        <f t="array" ref="Q37">MAX(IF($A:$A=$A37, $P:$P))</f>
        <v>0</v>
      </c>
      <c r="R37" s="113"/>
      <c r="S37" s="116"/>
      <c r="T37" s="117"/>
      <c r="U37" s="39" t="str">
        <f>IF(S37 &gt; 0,INDEX(Inventory!E:E,MATCH(R37, Inventory!A:A),1), "")</f>
        <v/>
      </c>
      <c r="V37" s="40">
        <f t="shared" si="32"/>
        <v>0</v>
      </c>
      <c r="W37" s="41">
        <f t="shared" si="33"/>
        <v>0</v>
      </c>
      <c r="Z37" s="38"/>
      <c r="AA37" s="39" t="str">
        <f>IF(Y37&gt;0, INDEX(Inventory!E:E,MATCH(X37, Inventory!A:A),1), "")</f>
        <v/>
      </c>
      <c r="AB37" s="42">
        <f t="shared" si="34"/>
        <v>0</v>
      </c>
      <c r="AC37" s="41">
        <f t="shared" si="35"/>
        <v>0</v>
      </c>
      <c r="AD37" s="114">
        <f t="shared" si="36"/>
        <v>0</v>
      </c>
      <c r="AE37" s="7">
        <f t="shared" si="37"/>
        <v>0</v>
      </c>
      <c r="AF37" s="7">
        <f t="shared" si="38"/>
        <v>0</v>
      </c>
      <c r="AG37" s="43">
        <f t="shared" si="39"/>
        <v>963</v>
      </c>
      <c r="AH37" s="43">
        <f t="shared" si="40"/>
        <v>0</v>
      </c>
      <c r="AI37" s="43">
        <f t="shared" si="41"/>
        <v>0</v>
      </c>
    </row>
    <row r="38" spans="1:35" x14ac:dyDescent="0.25">
      <c r="A38" s="113" t="s">
        <v>728</v>
      </c>
      <c r="C38" t="s">
        <v>848</v>
      </c>
      <c r="D38" t="s">
        <v>838</v>
      </c>
      <c r="F38" s="46">
        <v>5</v>
      </c>
      <c r="G38" s="47">
        <f t="shared" si="28"/>
        <v>0</v>
      </c>
      <c r="H38" s="36">
        <f t="shared" si="29"/>
        <v>4815</v>
      </c>
      <c r="I38" s="51"/>
      <c r="J38" s="140">
        <v>2</v>
      </c>
      <c r="K38" t="s">
        <v>723</v>
      </c>
      <c r="L38" s="24">
        <v>2</v>
      </c>
      <c r="M38" s="38"/>
      <c r="N38" s="39">
        <f>INDEX(Inventory!E:E,MATCH(K38, Inventory!A:A),1)</f>
        <v>1926</v>
      </c>
      <c r="O38" s="40">
        <f t="shared" si="30"/>
        <v>0</v>
      </c>
      <c r="P38" s="41">
        <f t="shared" si="31"/>
        <v>0</v>
      </c>
      <c r="Q38" s="41" cm="1">
        <f t="array" ref="Q38">MAX(IF($A:$A=$A38, $P:$P))</f>
        <v>0</v>
      </c>
      <c r="R38" s="113" t="s">
        <v>209</v>
      </c>
      <c r="S38" s="116">
        <v>2</v>
      </c>
      <c r="T38" s="117"/>
      <c r="U38" s="39">
        <f>IF(S38 &gt; 0,INDEX(Inventory!E:E,MATCH(R38, Inventory!A:A),1), "")</f>
        <v>9872</v>
      </c>
      <c r="V38" s="40">
        <f t="shared" si="32"/>
        <v>0</v>
      </c>
      <c r="W38" s="41">
        <f t="shared" si="33"/>
        <v>0</v>
      </c>
      <c r="Z38" s="38"/>
      <c r="AA38" s="39" t="str">
        <f>IF(Y38&gt;0, INDEX(Inventory!E:E,MATCH(X38, Inventory!A:A),1), "")</f>
        <v/>
      </c>
      <c r="AB38" s="42">
        <f t="shared" si="34"/>
        <v>0</v>
      </c>
      <c r="AC38" s="41">
        <f t="shared" si="35"/>
        <v>0</v>
      </c>
      <c r="AD38" s="114">
        <f t="shared" si="36"/>
        <v>0</v>
      </c>
      <c r="AE38" s="7">
        <f t="shared" si="37"/>
        <v>0</v>
      </c>
      <c r="AF38" s="7">
        <f t="shared" si="38"/>
        <v>0</v>
      </c>
      <c r="AG38" s="43">
        <f t="shared" si="39"/>
        <v>0</v>
      </c>
      <c r="AH38" s="43">
        <f t="shared" si="40"/>
        <v>4815</v>
      </c>
      <c r="AI38" s="43">
        <f t="shared" si="41"/>
        <v>0</v>
      </c>
    </row>
    <row r="39" spans="1:35" x14ac:dyDescent="0.25">
      <c r="A39" s="113" t="s">
        <v>728</v>
      </c>
      <c r="C39" t="s">
        <v>848</v>
      </c>
      <c r="D39" t="s">
        <v>838</v>
      </c>
      <c r="F39" s="46">
        <v>6</v>
      </c>
      <c r="G39" s="47">
        <f t="shared" si="28"/>
        <v>0</v>
      </c>
      <c r="H39" s="36">
        <f t="shared" si="29"/>
        <v>25686</v>
      </c>
      <c r="I39" s="51"/>
      <c r="J39" s="140">
        <v>2</v>
      </c>
      <c r="K39" t="s">
        <v>728</v>
      </c>
      <c r="L39" s="24">
        <v>1</v>
      </c>
      <c r="M39" s="38"/>
      <c r="N39" s="39">
        <f>INDEX(Inventory!E:E,MATCH(K39, Inventory!A:A),1)</f>
        <v>4281</v>
      </c>
      <c r="O39" s="40">
        <f t="shared" si="30"/>
        <v>0</v>
      </c>
      <c r="P39" s="41">
        <f t="shared" si="31"/>
        <v>0</v>
      </c>
      <c r="Q39" s="41" cm="1">
        <f t="array" ref="Q39">MAX(IF($A:$A=$A39, $P:$P))</f>
        <v>0</v>
      </c>
      <c r="R39" s="113" t="s">
        <v>209</v>
      </c>
      <c r="S39" s="116">
        <v>2</v>
      </c>
      <c r="T39" s="117"/>
      <c r="U39" s="39">
        <f>IF(S39 &gt; 0,INDEX(Inventory!E:E,MATCH(R39, Inventory!A:A),1), "")</f>
        <v>9872</v>
      </c>
      <c r="V39" s="40">
        <f t="shared" si="32"/>
        <v>0</v>
      </c>
      <c r="W39" s="41">
        <f t="shared" si="33"/>
        <v>0</v>
      </c>
      <c r="Z39" s="38"/>
      <c r="AA39" s="39" t="str">
        <f>IF(Y39&gt;0, INDEX(Inventory!E:E,MATCH(X39, Inventory!A:A),1), "")</f>
        <v/>
      </c>
      <c r="AB39" s="42">
        <f t="shared" si="34"/>
        <v>0</v>
      </c>
      <c r="AC39" s="41">
        <f t="shared" si="35"/>
        <v>0</v>
      </c>
      <c r="AD39" s="114">
        <f t="shared" si="36"/>
        <v>0</v>
      </c>
      <c r="AE39" s="7">
        <f t="shared" si="37"/>
        <v>0</v>
      </c>
      <c r="AF39" s="7">
        <f t="shared" si="38"/>
        <v>0</v>
      </c>
      <c r="AG39" s="43">
        <f t="shared" si="39"/>
        <v>0</v>
      </c>
      <c r="AH39" s="43">
        <f t="shared" si="40"/>
        <v>25686</v>
      </c>
      <c r="AI39" s="43">
        <f t="shared" si="41"/>
        <v>0</v>
      </c>
    </row>
    <row r="40" spans="1:35" x14ac:dyDescent="0.25">
      <c r="A40" s="113" t="s">
        <v>728</v>
      </c>
      <c r="C40" t="s">
        <v>848</v>
      </c>
      <c r="D40" t="s">
        <v>838</v>
      </c>
      <c r="F40" s="46">
        <v>2</v>
      </c>
      <c r="G40" s="47">
        <f t="shared" si="28"/>
        <v>0</v>
      </c>
      <c r="H40" s="36">
        <f t="shared" si="29"/>
        <v>25862</v>
      </c>
      <c r="I40" s="51"/>
      <c r="J40" s="140">
        <v>2</v>
      </c>
      <c r="K40" t="s">
        <v>740</v>
      </c>
      <c r="L40" s="24">
        <v>1</v>
      </c>
      <c r="M40" s="38"/>
      <c r="N40" s="39">
        <f>INDEX(Inventory!E:E,MATCH(K40, Inventory!A:A),1)</f>
        <v>65932</v>
      </c>
      <c r="O40" s="40">
        <f t="shared" si="30"/>
        <v>0</v>
      </c>
      <c r="P40" s="41">
        <f t="shared" si="31"/>
        <v>0</v>
      </c>
      <c r="Q40" s="41" cm="1">
        <f t="array" ref="Q40">MAX(IF($A:$A=$A40, $P:$P))</f>
        <v>0</v>
      </c>
      <c r="R40" s="113" t="s">
        <v>771</v>
      </c>
      <c r="S40" s="116">
        <v>1</v>
      </c>
      <c r="T40" s="117"/>
      <c r="U40" s="39">
        <f>IF(S40 &gt; 0,INDEX(Inventory!E:E,MATCH(R40, Inventory!A:A),1), "")</f>
        <v>12931</v>
      </c>
      <c r="V40" s="40">
        <f t="shared" si="32"/>
        <v>0</v>
      </c>
      <c r="W40" s="41">
        <f t="shared" si="33"/>
        <v>0</v>
      </c>
      <c r="Z40" s="38"/>
      <c r="AA40" s="39" t="str">
        <f>IF(Y40&gt;0, INDEX(Inventory!E:E,MATCH(X40, Inventory!A:A),1), "")</f>
        <v/>
      </c>
      <c r="AB40" s="42">
        <f t="shared" si="34"/>
        <v>0</v>
      </c>
      <c r="AC40" s="41">
        <f t="shared" si="35"/>
        <v>0</v>
      </c>
      <c r="AD40" s="114">
        <f t="shared" si="36"/>
        <v>0</v>
      </c>
      <c r="AE40" s="7">
        <f t="shared" si="37"/>
        <v>0</v>
      </c>
      <c r="AF40" s="7">
        <f t="shared" si="38"/>
        <v>0</v>
      </c>
      <c r="AG40" s="43">
        <f t="shared" si="39"/>
        <v>0</v>
      </c>
      <c r="AH40" s="43">
        <f t="shared" si="40"/>
        <v>25862</v>
      </c>
      <c r="AI40" s="43">
        <f t="shared" si="41"/>
        <v>0</v>
      </c>
    </row>
    <row r="41" spans="1:35" x14ac:dyDescent="0.25">
      <c r="A41" s="113" t="s">
        <v>728</v>
      </c>
      <c r="C41" t="s">
        <v>848</v>
      </c>
      <c r="D41" t="s">
        <v>838</v>
      </c>
      <c r="F41" s="46">
        <v>2</v>
      </c>
      <c r="G41" s="47">
        <f t="shared" si="28"/>
        <v>0</v>
      </c>
      <c r="H41" s="36">
        <f t="shared" si="29"/>
        <v>1926</v>
      </c>
      <c r="I41" s="51"/>
      <c r="J41" s="140">
        <v>2</v>
      </c>
      <c r="K41" t="s">
        <v>740</v>
      </c>
      <c r="L41" s="24">
        <v>1</v>
      </c>
      <c r="M41" s="38"/>
      <c r="N41" s="39">
        <f>INDEX(Inventory!E:E,MATCH(K41, Inventory!A:A),1)</f>
        <v>65932</v>
      </c>
      <c r="O41" s="40">
        <f t="shared" si="30"/>
        <v>0</v>
      </c>
      <c r="P41" s="41">
        <f t="shared" si="31"/>
        <v>0</v>
      </c>
      <c r="Q41" s="41" cm="1">
        <f t="array" ref="Q41">MAX(IF($A:$A=$A41, $P:$P))</f>
        <v>0</v>
      </c>
      <c r="R41" s="113" t="s">
        <v>723</v>
      </c>
      <c r="S41" s="116">
        <v>2</v>
      </c>
      <c r="T41" s="117"/>
      <c r="U41" s="39">
        <f>IF(S41 &gt; 0,INDEX(Inventory!E:E,MATCH(R41, Inventory!A:A),1), "")</f>
        <v>1926</v>
      </c>
      <c r="V41" s="40">
        <f t="shared" si="32"/>
        <v>0</v>
      </c>
      <c r="W41" s="41">
        <f t="shared" si="33"/>
        <v>0</v>
      </c>
      <c r="Z41" s="38"/>
      <c r="AA41" s="39" t="str">
        <f>IF(Y41&gt;0, INDEX(Inventory!E:E,MATCH(X41, Inventory!A:A),1), "")</f>
        <v/>
      </c>
      <c r="AB41" s="42">
        <f t="shared" si="34"/>
        <v>0</v>
      </c>
      <c r="AC41" s="41">
        <f t="shared" si="35"/>
        <v>0</v>
      </c>
      <c r="AD41" s="114">
        <f t="shared" si="36"/>
        <v>0</v>
      </c>
      <c r="AE41" s="7">
        <f t="shared" si="37"/>
        <v>0</v>
      </c>
      <c r="AF41" s="7">
        <f t="shared" si="38"/>
        <v>0</v>
      </c>
      <c r="AG41" s="43">
        <f t="shared" si="39"/>
        <v>0</v>
      </c>
      <c r="AH41" s="43">
        <f t="shared" si="40"/>
        <v>1926</v>
      </c>
      <c r="AI41" s="43">
        <f t="shared" si="41"/>
        <v>0</v>
      </c>
    </row>
    <row r="42" spans="1:35" x14ac:dyDescent="0.25">
      <c r="A42" s="113" t="s">
        <v>728</v>
      </c>
      <c r="C42" t="s">
        <v>848</v>
      </c>
      <c r="D42" t="s">
        <v>838</v>
      </c>
      <c r="F42" s="46">
        <v>3</v>
      </c>
      <c r="G42" s="47">
        <f t="shared" si="28"/>
        <v>0</v>
      </c>
      <c r="H42" s="36">
        <f t="shared" si="29"/>
        <v>12843</v>
      </c>
      <c r="I42" s="51"/>
      <c r="J42" s="140">
        <v>2</v>
      </c>
      <c r="K42" t="s">
        <v>740</v>
      </c>
      <c r="L42" s="24">
        <v>1</v>
      </c>
      <c r="M42" s="38"/>
      <c r="N42" s="39">
        <f>INDEX(Inventory!E:E,MATCH(K42, Inventory!A:A),1)</f>
        <v>65932</v>
      </c>
      <c r="O42" s="40">
        <f t="shared" si="30"/>
        <v>0</v>
      </c>
      <c r="P42" s="41">
        <f t="shared" si="31"/>
        <v>0</v>
      </c>
      <c r="Q42" s="41" cm="1">
        <f t="array" ref="Q42">MAX(IF($A:$A=$A42, $P:$P))</f>
        <v>0</v>
      </c>
      <c r="R42" s="113" t="s">
        <v>728</v>
      </c>
      <c r="S42" s="116">
        <v>1</v>
      </c>
      <c r="T42" s="117"/>
      <c r="U42" s="39">
        <f>IF(S42 &gt; 0,INDEX(Inventory!E:E,MATCH(R42, Inventory!A:A),1), "")</f>
        <v>4281</v>
      </c>
      <c r="V42" s="40">
        <f t="shared" si="32"/>
        <v>0</v>
      </c>
      <c r="W42" s="41">
        <f t="shared" si="33"/>
        <v>0</v>
      </c>
      <c r="Z42" s="38"/>
      <c r="AA42" s="39" t="str">
        <f>IF(Y42&gt;0, INDEX(Inventory!E:E,MATCH(X42, Inventory!A:A),1), "")</f>
        <v/>
      </c>
      <c r="AB42" s="42">
        <f t="shared" si="34"/>
        <v>0</v>
      </c>
      <c r="AC42" s="41">
        <f t="shared" si="35"/>
        <v>0</v>
      </c>
      <c r="AD42" s="114">
        <f t="shared" si="36"/>
        <v>0</v>
      </c>
      <c r="AE42" s="7">
        <f t="shared" si="37"/>
        <v>0</v>
      </c>
      <c r="AF42" s="7">
        <f t="shared" si="38"/>
        <v>0</v>
      </c>
      <c r="AG42" s="43">
        <f t="shared" si="39"/>
        <v>0</v>
      </c>
      <c r="AH42" s="43">
        <f t="shared" si="40"/>
        <v>12843</v>
      </c>
      <c r="AI42" s="43">
        <f t="shared" si="41"/>
        <v>0</v>
      </c>
    </row>
    <row r="43" spans="1:35" x14ac:dyDescent="0.25">
      <c r="A43" s="113" t="s">
        <v>728</v>
      </c>
      <c r="C43" t="s">
        <v>848</v>
      </c>
      <c r="D43" t="s">
        <v>838</v>
      </c>
      <c r="F43" s="46">
        <v>1</v>
      </c>
      <c r="G43" s="47">
        <f t="shared" si="28"/>
        <v>0</v>
      </c>
      <c r="H43" s="36">
        <f t="shared" si="29"/>
        <v>6640</v>
      </c>
      <c r="I43" s="51"/>
      <c r="J43" s="140">
        <v>1</v>
      </c>
      <c r="K43" t="s">
        <v>733</v>
      </c>
      <c r="L43" s="24">
        <v>1</v>
      </c>
      <c r="M43" s="38"/>
      <c r="N43" s="39">
        <f>INDEX(Inventory!E:E,MATCH(K43, Inventory!A:A),1)</f>
        <v>6640</v>
      </c>
      <c r="O43" s="40">
        <f t="shared" si="30"/>
        <v>0</v>
      </c>
      <c r="P43" s="41">
        <f t="shared" si="31"/>
        <v>0</v>
      </c>
      <c r="Q43" s="41" cm="1">
        <f t="array" ref="Q43">MAX(IF($A:$A=$A43, $P:$P))</f>
        <v>0</v>
      </c>
      <c r="R43" s="113"/>
      <c r="S43" s="116"/>
      <c r="T43" s="117"/>
      <c r="U43" s="39" t="str">
        <f>IF(S43 &gt; 0,INDEX(Inventory!E:E,MATCH(R43, Inventory!A:A),1), "")</f>
        <v/>
      </c>
      <c r="V43" s="40">
        <f t="shared" si="32"/>
        <v>0</v>
      </c>
      <c r="W43" s="41">
        <f t="shared" si="33"/>
        <v>0</v>
      </c>
      <c r="Z43" s="38"/>
      <c r="AA43" s="39" t="str">
        <f>IF(Y43&gt;0, INDEX(Inventory!E:E,MATCH(X43, Inventory!A:A),1), "")</f>
        <v/>
      </c>
      <c r="AB43" s="42">
        <f t="shared" si="34"/>
        <v>0</v>
      </c>
      <c r="AC43" s="41">
        <f t="shared" si="35"/>
        <v>0</v>
      </c>
      <c r="AD43" s="114">
        <f t="shared" si="36"/>
        <v>0</v>
      </c>
      <c r="AE43" s="7">
        <f t="shared" si="37"/>
        <v>0</v>
      </c>
      <c r="AF43" s="7">
        <f t="shared" si="38"/>
        <v>0</v>
      </c>
      <c r="AG43" s="43">
        <f t="shared" si="39"/>
        <v>6640</v>
      </c>
      <c r="AH43" s="43">
        <f t="shared" si="40"/>
        <v>0</v>
      </c>
      <c r="AI43" s="43">
        <f t="shared" si="41"/>
        <v>0</v>
      </c>
    </row>
    <row r="44" spans="1:35" x14ac:dyDescent="0.25">
      <c r="A44" s="113" t="s">
        <v>728</v>
      </c>
      <c r="C44" t="s">
        <v>848</v>
      </c>
      <c r="D44" t="s">
        <v>838</v>
      </c>
      <c r="F44" s="46">
        <v>2</v>
      </c>
      <c r="G44" s="47">
        <f t="shared" si="28"/>
        <v>0</v>
      </c>
      <c r="H44" s="36">
        <f t="shared" si="29"/>
        <v>4724</v>
      </c>
      <c r="I44" s="51"/>
      <c r="J44" s="140">
        <v>2</v>
      </c>
      <c r="K44" t="s">
        <v>795</v>
      </c>
      <c r="L44" s="24">
        <v>1</v>
      </c>
      <c r="M44" s="38"/>
      <c r="N44" s="39">
        <f>INDEX(Inventory!E:E,MATCH(K44, Inventory!A:A),1)</f>
        <v>2362</v>
      </c>
      <c r="O44" s="40">
        <f t="shared" si="30"/>
        <v>0</v>
      </c>
      <c r="P44" s="41">
        <f t="shared" si="31"/>
        <v>0</v>
      </c>
      <c r="Q44" s="41" cm="1">
        <f t="array" ref="Q44">MAX(IF($A:$A=$A44, $P:$P))</f>
        <v>0</v>
      </c>
      <c r="R44" s="113" t="s">
        <v>735</v>
      </c>
      <c r="S44" s="116">
        <v>1</v>
      </c>
      <c r="T44" s="117"/>
      <c r="U44" s="39">
        <f>IF(S44 &gt; 0,INDEX(Inventory!E:E,MATCH(R44, Inventory!A:A),1), "")</f>
        <v>5543</v>
      </c>
      <c r="V44" s="40">
        <f t="shared" si="32"/>
        <v>0</v>
      </c>
      <c r="W44" s="41">
        <f t="shared" si="33"/>
        <v>0</v>
      </c>
      <c r="Z44" s="38"/>
      <c r="AA44" s="39" t="str">
        <f>IF(Y44&gt;0, INDEX(Inventory!E:E,MATCH(X44, Inventory!A:A),1), "")</f>
        <v/>
      </c>
      <c r="AB44" s="42">
        <f t="shared" si="34"/>
        <v>0</v>
      </c>
      <c r="AC44" s="41">
        <f t="shared" si="35"/>
        <v>0</v>
      </c>
      <c r="AD44" s="114">
        <f t="shared" si="36"/>
        <v>0</v>
      </c>
      <c r="AE44" s="7">
        <f t="shared" si="37"/>
        <v>0</v>
      </c>
      <c r="AF44" s="7">
        <f t="shared" si="38"/>
        <v>0</v>
      </c>
      <c r="AG44" s="43">
        <f t="shared" si="39"/>
        <v>0</v>
      </c>
      <c r="AH44" s="43">
        <f t="shared" si="40"/>
        <v>4724</v>
      </c>
      <c r="AI44" s="43">
        <f t="shared" si="41"/>
        <v>0</v>
      </c>
    </row>
    <row r="45" spans="1:35" x14ac:dyDescent="0.25">
      <c r="A45" s="113" t="s">
        <v>849</v>
      </c>
      <c r="C45" t="s">
        <v>836</v>
      </c>
      <c r="D45" t="s">
        <v>833</v>
      </c>
      <c r="F45" s="34">
        <v>1</v>
      </c>
      <c r="G45" s="54">
        <f t="shared" si="28"/>
        <v>0</v>
      </c>
      <c r="H45" s="36">
        <f t="shared" si="29"/>
        <v>1</v>
      </c>
      <c r="I45" s="37"/>
      <c r="J45" s="140">
        <v>2</v>
      </c>
      <c r="K45" t="s">
        <v>191</v>
      </c>
      <c r="L45" s="24">
        <v>20</v>
      </c>
      <c r="M45" s="45"/>
      <c r="N45" s="39">
        <f>INDEX(Inventory!E:E,MATCH(K45, Inventory!A:A),1)</f>
        <v>3084</v>
      </c>
      <c r="O45" s="40">
        <f t="shared" si="30"/>
        <v>0</v>
      </c>
      <c r="P45" s="41">
        <f t="shared" si="31"/>
        <v>0</v>
      </c>
      <c r="Q45" s="41" cm="1">
        <f t="array" ref="Q45">MAX(IF($A:$A=$A45, $P:$P))</f>
        <v>0</v>
      </c>
      <c r="R45" s="113" t="s">
        <v>724</v>
      </c>
      <c r="S45" s="116">
        <v>1</v>
      </c>
      <c r="T45" s="117"/>
      <c r="U45" s="39">
        <f>IF(S45 &gt; 0,INDEX(Inventory!E:E,MATCH(R45, Inventory!A:A),1), "")</f>
        <v>1</v>
      </c>
      <c r="V45" s="40">
        <f t="shared" si="32"/>
        <v>0</v>
      </c>
      <c r="W45" s="41">
        <f t="shared" si="33"/>
        <v>0</v>
      </c>
      <c r="Z45" s="38"/>
      <c r="AA45" s="39" t="str">
        <f>IF(Y45&gt;0, INDEX(Inventory!E:E,MATCH(X45, Inventory!A:A),1), "")</f>
        <v/>
      </c>
      <c r="AB45" s="42">
        <f t="shared" si="34"/>
        <v>0</v>
      </c>
      <c r="AC45" s="41">
        <f t="shared" si="35"/>
        <v>0</v>
      </c>
      <c r="AD45" s="114">
        <f t="shared" si="36"/>
        <v>0</v>
      </c>
      <c r="AE45" s="7">
        <f t="shared" si="37"/>
        <v>0</v>
      </c>
      <c r="AF45" s="7">
        <f t="shared" si="38"/>
        <v>0</v>
      </c>
      <c r="AG45" s="43">
        <f t="shared" si="39"/>
        <v>0</v>
      </c>
      <c r="AH45" s="43">
        <f t="shared" si="40"/>
        <v>1</v>
      </c>
      <c r="AI45" s="43">
        <f t="shared" si="41"/>
        <v>0</v>
      </c>
    </row>
    <row r="46" spans="1:35" x14ac:dyDescent="0.25">
      <c r="A46" s="113" t="s">
        <v>850</v>
      </c>
      <c r="B46" s="113" t="s">
        <v>851</v>
      </c>
      <c r="C46" t="s">
        <v>836</v>
      </c>
      <c r="D46" t="s">
        <v>833</v>
      </c>
      <c r="F46" s="34">
        <v>1</v>
      </c>
      <c r="G46" s="54">
        <f t="shared" si="28"/>
        <v>0</v>
      </c>
      <c r="H46" s="36">
        <f t="shared" si="29"/>
        <v>1</v>
      </c>
      <c r="I46" s="37"/>
      <c r="J46" s="140">
        <v>3</v>
      </c>
      <c r="K46" t="s">
        <v>196</v>
      </c>
      <c r="L46" s="24">
        <v>50</v>
      </c>
      <c r="M46" s="45"/>
      <c r="N46" s="39">
        <f>INDEX(Inventory!E:E,MATCH(K46, Inventory!A:A),1)</f>
        <v>616165</v>
      </c>
      <c r="O46" s="40">
        <f t="shared" si="30"/>
        <v>0</v>
      </c>
      <c r="P46" s="41">
        <f t="shared" si="31"/>
        <v>0</v>
      </c>
      <c r="Q46" s="41" cm="1">
        <f t="array" ref="Q46">MAX(IF($A:$A=$A46, $P:$P))</f>
        <v>0</v>
      </c>
      <c r="R46" s="113" t="s">
        <v>736</v>
      </c>
      <c r="S46" s="116">
        <v>2</v>
      </c>
      <c r="T46" s="117"/>
      <c r="U46" s="39">
        <f>IF(S46 &gt; 0,INDEX(Inventory!E:E,MATCH(R46, Inventory!A:A),1), "")</f>
        <v>2</v>
      </c>
      <c r="V46" s="40">
        <f t="shared" si="32"/>
        <v>0</v>
      </c>
      <c r="W46" s="41">
        <f t="shared" si="33"/>
        <v>0</v>
      </c>
      <c r="X46" t="s">
        <v>726</v>
      </c>
      <c r="Y46" s="24">
        <v>20</v>
      </c>
      <c r="Z46" s="38"/>
      <c r="AA46" s="39">
        <f>IF(Y46&gt;0, INDEX(Inventory!E:E,MATCH(X46, Inventory!A:A),1), "")</f>
        <v>18593</v>
      </c>
      <c r="AB46" s="42">
        <f t="shared" si="34"/>
        <v>0</v>
      </c>
      <c r="AC46" s="41">
        <f t="shared" si="35"/>
        <v>0</v>
      </c>
      <c r="AD46" s="114">
        <f t="shared" si="36"/>
        <v>0</v>
      </c>
      <c r="AE46" s="7">
        <f t="shared" si="37"/>
        <v>0</v>
      </c>
      <c r="AF46" s="7">
        <f t="shared" si="38"/>
        <v>0</v>
      </c>
      <c r="AG46" s="43">
        <f t="shared" si="39"/>
        <v>0</v>
      </c>
      <c r="AH46" s="43">
        <f t="shared" si="40"/>
        <v>0</v>
      </c>
      <c r="AI46" s="43">
        <f t="shared" si="41"/>
        <v>1</v>
      </c>
    </row>
    <row r="47" spans="1:35" x14ac:dyDescent="0.25">
      <c r="A47" s="113" t="s">
        <v>729</v>
      </c>
      <c r="C47" t="s">
        <v>847</v>
      </c>
      <c r="D47" t="s">
        <v>833</v>
      </c>
      <c r="E47" t="s">
        <v>788</v>
      </c>
      <c r="F47" s="34">
        <v>1</v>
      </c>
      <c r="G47" s="54">
        <f t="shared" si="28"/>
        <v>0</v>
      </c>
      <c r="H47" s="36">
        <f t="shared" si="29"/>
        <v>0</v>
      </c>
      <c r="I47" s="37"/>
      <c r="J47" s="140">
        <v>2</v>
      </c>
      <c r="K47" t="s">
        <v>764</v>
      </c>
      <c r="L47" s="24">
        <v>1</v>
      </c>
      <c r="M47" s="38"/>
      <c r="N47" s="39">
        <f>INDEX(Inventory!E:E,MATCH(K47, Inventory!A:A),1)</f>
        <v>0</v>
      </c>
      <c r="O47" s="40">
        <f t="shared" si="30"/>
        <v>0</v>
      </c>
      <c r="P47" s="41">
        <f t="shared" si="31"/>
        <v>0</v>
      </c>
      <c r="Q47" s="41" cm="1">
        <f t="array" ref="Q47">MAX(IF($A:$A=$A47, $P:$P))</f>
        <v>0</v>
      </c>
      <c r="R47" s="113" t="s">
        <v>852</v>
      </c>
      <c r="S47" s="116">
        <v>1</v>
      </c>
      <c r="T47" s="117"/>
      <c r="U47" s="39">
        <f>IF(S47 &gt; 0,INDEX(Inventory!E:E,MATCH(R47, Inventory!A:A),1), "")</f>
        <v>0</v>
      </c>
      <c r="V47" s="40">
        <f t="shared" si="32"/>
        <v>0</v>
      </c>
      <c r="W47" s="41">
        <f t="shared" si="33"/>
        <v>0</v>
      </c>
      <c r="Z47" s="38"/>
      <c r="AA47" s="39" t="str">
        <f>IF(Y47&gt;0, INDEX(Inventory!E:E,MATCH(X47, Inventory!A:A),1), "")</f>
        <v/>
      </c>
      <c r="AB47" s="42">
        <f t="shared" si="34"/>
        <v>0</v>
      </c>
      <c r="AC47" s="41">
        <f t="shared" si="35"/>
        <v>0</v>
      </c>
      <c r="AD47" s="114">
        <f t="shared" si="36"/>
        <v>0</v>
      </c>
      <c r="AE47" s="7">
        <f t="shared" si="37"/>
        <v>0</v>
      </c>
      <c r="AF47" s="7">
        <f t="shared" si="38"/>
        <v>0</v>
      </c>
      <c r="AG47" s="43">
        <f t="shared" si="39"/>
        <v>0</v>
      </c>
      <c r="AH47" s="43">
        <f t="shared" si="40"/>
        <v>0</v>
      </c>
      <c r="AI47" s="43">
        <f t="shared" si="41"/>
        <v>0</v>
      </c>
    </row>
    <row r="48" spans="1:35" x14ac:dyDescent="0.25">
      <c r="A48" s="113" t="s">
        <v>853</v>
      </c>
      <c r="B48" s="113" t="s">
        <v>854</v>
      </c>
      <c r="C48" t="s">
        <v>836</v>
      </c>
      <c r="D48" t="s">
        <v>833</v>
      </c>
      <c r="F48" s="34">
        <v>1</v>
      </c>
      <c r="G48" s="35">
        <f t="shared" si="28"/>
        <v>0</v>
      </c>
      <c r="H48" s="36">
        <f t="shared" si="29"/>
        <v>394</v>
      </c>
      <c r="I48" s="37"/>
      <c r="J48" s="140">
        <v>3</v>
      </c>
      <c r="K48" t="s">
        <v>196</v>
      </c>
      <c r="L48" s="24">
        <v>50</v>
      </c>
      <c r="M48" s="45"/>
      <c r="N48" s="39">
        <f>INDEX(Inventory!E:E,MATCH(K48, Inventory!A:A),1)</f>
        <v>616165</v>
      </c>
      <c r="O48" s="40">
        <f t="shared" si="30"/>
        <v>0</v>
      </c>
      <c r="P48" s="41">
        <f t="shared" si="31"/>
        <v>0</v>
      </c>
      <c r="Q48" s="41" cm="1">
        <f t="array" ref="Q48">MAX(IF($A:$A=$A48, $P:$P))</f>
        <v>0</v>
      </c>
      <c r="R48" s="113" t="s">
        <v>209</v>
      </c>
      <c r="S48" s="116">
        <v>25</v>
      </c>
      <c r="T48" s="117"/>
      <c r="U48" s="39">
        <f>IF(S48 &gt; 0,INDEX(Inventory!E:E,MATCH(R48, Inventory!A:A),1), "")</f>
        <v>9872</v>
      </c>
      <c r="V48" s="40">
        <f t="shared" si="32"/>
        <v>0</v>
      </c>
      <c r="W48" s="41">
        <f t="shared" si="33"/>
        <v>0</v>
      </c>
      <c r="X48" t="s">
        <v>740</v>
      </c>
      <c r="Y48" s="24">
        <v>10</v>
      </c>
      <c r="Z48" s="38"/>
      <c r="AA48" s="39">
        <f>IF(Y48&gt;0, INDEX(Inventory!E:E,MATCH(X48, Inventory!A:A),1), "")</f>
        <v>65932</v>
      </c>
      <c r="AB48" s="42">
        <f t="shared" si="34"/>
        <v>0</v>
      </c>
      <c r="AC48" s="41">
        <f t="shared" si="35"/>
        <v>0</v>
      </c>
      <c r="AD48" s="114">
        <f t="shared" si="36"/>
        <v>0</v>
      </c>
      <c r="AE48" s="7">
        <f t="shared" si="37"/>
        <v>0</v>
      </c>
      <c r="AF48" s="7">
        <f t="shared" si="38"/>
        <v>0</v>
      </c>
      <c r="AG48" s="43">
        <f t="shared" si="39"/>
        <v>0</v>
      </c>
      <c r="AH48" s="43">
        <f t="shared" si="40"/>
        <v>0</v>
      </c>
      <c r="AI48" s="43">
        <f t="shared" si="41"/>
        <v>394.88</v>
      </c>
    </row>
    <row r="49" spans="1:35" x14ac:dyDescent="0.25">
      <c r="A49" s="113" t="s">
        <v>732</v>
      </c>
      <c r="C49" t="s">
        <v>847</v>
      </c>
      <c r="D49" t="s">
        <v>833</v>
      </c>
      <c r="F49" s="34">
        <v>1</v>
      </c>
      <c r="G49" s="35">
        <f t="shared" si="28"/>
        <v>0</v>
      </c>
      <c r="H49" s="36">
        <f t="shared" si="29"/>
        <v>44</v>
      </c>
      <c r="I49" s="37"/>
      <c r="J49" s="140">
        <v>2</v>
      </c>
      <c r="K49" t="s">
        <v>756</v>
      </c>
      <c r="L49" s="24">
        <v>1</v>
      </c>
      <c r="M49" s="38"/>
      <c r="N49" s="39">
        <f>INDEX(Inventory!E:E,MATCH(K49, Inventory!A:A),1)</f>
        <v>44</v>
      </c>
      <c r="O49" s="40">
        <f t="shared" si="30"/>
        <v>0</v>
      </c>
      <c r="P49" s="41">
        <f t="shared" si="31"/>
        <v>0</v>
      </c>
      <c r="Q49" s="41" cm="1">
        <f t="array" ref="Q49">MAX(IF($A:$A=$A49, $P:$P))</f>
        <v>0</v>
      </c>
      <c r="R49" s="113" t="s">
        <v>791</v>
      </c>
      <c r="S49" s="116">
        <v>1</v>
      </c>
      <c r="T49" s="117"/>
      <c r="U49" s="39">
        <f>IF(S49 &gt; 0,INDEX(Inventory!E:E,MATCH(R49, Inventory!A:A),1), "")</f>
        <v>47</v>
      </c>
      <c r="V49" s="40">
        <f t="shared" si="32"/>
        <v>0</v>
      </c>
      <c r="W49" s="41">
        <f t="shared" si="33"/>
        <v>0</v>
      </c>
      <c r="Z49" s="38"/>
      <c r="AA49" s="39" t="str">
        <f>IF(Y49&gt;0, INDEX(Inventory!E:E,MATCH(X49, Inventory!A:A),1), "")</f>
        <v/>
      </c>
      <c r="AB49" s="42">
        <f t="shared" si="34"/>
        <v>0</v>
      </c>
      <c r="AC49" s="41">
        <f t="shared" si="35"/>
        <v>0</v>
      </c>
      <c r="AD49" s="114">
        <f t="shared" si="36"/>
        <v>0</v>
      </c>
      <c r="AE49" s="7">
        <f t="shared" si="37"/>
        <v>0</v>
      </c>
      <c r="AF49" s="7">
        <f t="shared" si="38"/>
        <v>0</v>
      </c>
      <c r="AG49" s="43">
        <f t="shared" si="39"/>
        <v>0</v>
      </c>
      <c r="AH49" s="43">
        <f t="shared" si="40"/>
        <v>44</v>
      </c>
      <c r="AI49" s="43">
        <f t="shared" si="41"/>
        <v>0</v>
      </c>
    </row>
    <row r="50" spans="1:35" x14ac:dyDescent="0.25">
      <c r="A50" s="113" t="s">
        <v>735</v>
      </c>
      <c r="C50" t="s">
        <v>837</v>
      </c>
      <c r="D50" t="s">
        <v>838</v>
      </c>
      <c r="F50" s="34">
        <v>40</v>
      </c>
      <c r="G50" s="35">
        <f t="shared" si="28"/>
        <v>0</v>
      </c>
      <c r="H50" s="36">
        <f t="shared" si="29"/>
        <v>80</v>
      </c>
      <c r="I50" s="37"/>
      <c r="J50" s="140">
        <v>1</v>
      </c>
      <c r="K50" t="s">
        <v>736</v>
      </c>
      <c r="L50" s="24">
        <v>1</v>
      </c>
      <c r="M50" s="38"/>
      <c r="N50" s="39">
        <f>INDEX(Inventory!E:E,MATCH(K50, Inventory!A:A),1)</f>
        <v>2</v>
      </c>
      <c r="O50" s="40">
        <f t="shared" si="30"/>
        <v>0</v>
      </c>
      <c r="P50" s="41">
        <f t="shared" si="31"/>
        <v>0</v>
      </c>
      <c r="Q50" s="41" cm="1">
        <f t="array" ref="Q50">MAX(IF($A:$A=$A50, $P:$P))</f>
        <v>0</v>
      </c>
      <c r="R50" s="113"/>
      <c r="S50" s="116"/>
      <c r="T50" s="117"/>
      <c r="U50" s="39" t="str">
        <f>IF(S50 &gt; 0,INDEX(Inventory!E:E,MATCH(R50, Inventory!A:A),1), "")</f>
        <v/>
      </c>
      <c r="V50" s="40">
        <f t="shared" si="32"/>
        <v>0</v>
      </c>
      <c r="W50" s="41">
        <f t="shared" si="33"/>
        <v>0</v>
      </c>
      <c r="Z50" s="38"/>
      <c r="AA50" s="39" t="str">
        <f>IF(Y50&gt;0, INDEX(Inventory!E:E,MATCH(X50, Inventory!A:A),1), "")</f>
        <v/>
      </c>
      <c r="AB50" s="42">
        <f t="shared" si="34"/>
        <v>0</v>
      </c>
      <c r="AC50" s="41">
        <f t="shared" si="35"/>
        <v>0</v>
      </c>
      <c r="AD50" s="114">
        <f t="shared" si="36"/>
        <v>0</v>
      </c>
      <c r="AE50" s="7">
        <f t="shared" si="37"/>
        <v>0</v>
      </c>
      <c r="AF50" s="7">
        <f t="shared" si="38"/>
        <v>0</v>
      </c>
      <c r="AG50" s="43">
        <f t="shared" si="39"/>
        <v>80</v>
      </c>
      <c r="AH50" s="43">
        <f t="shared" si="40"/>
        <v>0</v>
      </c>
      <c r="AI50" s="43">
        <f t="shared" si="41"/>
        <v>0</v>
      </c>
    </row>
    <row r="51" spans="1:35" x14ac:dyDescent="0.25">
      <c r="A51" s="113" t="s">
        <v>735</v>
      </c>
      <c r="C51" t="s">
        <v>837</v>
      </c>
      <c r="D51" t="s">
        <v>838</v>
      </c>
      <c r="F51" s="34">
        <v>1</v>
      </c>
      <c r="G51" s="54">
        <f t="shared" si="28"/>
        <v>0</v>
      </c>
      <c r="H51" s="36">
        <f t="shared" si="29"/>
        <v>3341</v>
      </c>
      <c r="I51" s="37"/>
      <c r="J51" s="140">
        <v>1</v>
      </c>
      <c r="K51" t="s">
        <v>792</v>
      </c>
      <c r="L51" s="24">
        <v>5</v>
      </c>
      <c r="M51" s="38"/>
      <c r="N51" s="39">
        <f>INDEX(Inventory!E:E,MATCH(K51, Inventory!A:A),1)</f>
        <v>16709</v>
      </c>
      <c r="O51" s="40">
        <f t="shared" si="30"/>
        <v>0</v>
      </c>
      <c r="P51" s="41">
        <f t="shared" si="31"/>
        <v>0</v>
      </c>
      <c r="Q51" s="41" cm="1">
        <f t="array" ref="Q51">MAX(IF($A:$A=$A51, $P:$P))</f>
        <v>0</v>
      </c>
      <c r="R51" s="113"/>
      <c r="S51" s="116"/>
      <c r="T51" s="117"/>
      <c r="U51" s="39" t="str">
        <f>IF(S51 &gt; 0,INDEX(Inventory!E:E,MATCH(R51, Inventory!A:A),1), "")</f>
        <v/>
      </c>
      <c r="V51" s="40">
        <f t="shared" si="32"/>
        <v>0</v>
      </c>
      <c r="W51" s="41">
        <f t="shared" si="33"/>
        <v>0</v>
      </c>
      <c r="Z51" s="38"/>
      <c r="AA51" s="39" t="str">
        <f>IF(Y51&gt;0, INDEX(Inventory!E:E,MATCH(X51, Inventory!A:A),1), "")</f>
        <v/>
      </c>
      <c r="AB51" s="42">
        <f t="shared" si="34"/>
        <v>0</v>
      </c>
      <c r="AC51" s="41">
        <f t="shared" si="35"/>
        <v>0</v>
      </c>
      <c r="AD51" s="114">
        <f t="shared" si="36"/>
        <v>0</v>
      </c>
      <c r="AE51" s="7">
        <f t="shared" si="37"/>
        <v>0</v>
      </c>
      <c r="AF51" s="7">
        <f t="shared" si="38"/>
        <v>0</v>
      </c>
      <c r="AG51" s="43">
        <f t="shared" si="39"/>
        <v>3341.8</v>
      </c>
      <c r="AH51" s="43">
        <f t="shared" si="40"/>
        <v>0</v>
      </c>
      <c r="AI51" s="43">
        <f t="shared" si="41"/>
        <v>0</v>
      </c>
    </row>
    <row r="52" spans="1:35" x14ac:dyDescent="0.25">
      <c r="A52" s="113" t="s">
        <v>736</v>
      </c>
      <c r="C52" t="s">
        <v>847</v>
      </c>
      <c r="D52" t="s">
        <v>833</v>
      </c>
      <c r="F52" s="34">
        <v>1</v>
      </c>
      <c r="G52" s="54">
        <f t="shared" si="28"/>
        <v>0</v>
      </c>
      <c r="H52" s="36">
        <f t="shared" si="29"/>
        <v>138</v>
      </c>
      <c r="I52" s="37"/>
      <c r="J52" s="140">
        <v>1</v>
      </c>
      <c r="K52" t="s">
        <v>735</v>
      </c>
      <c r="L52" s="24">
        <v>40</v>
      </c>
      <c r="M52" s="38"/>
      <c r="N52" s="39">
        <f>INDEX(Inventory!E:E,MATCH(K52, Inventory!A:A),1)</f>
        <v>5543</v>
      </c>
      <c r="O52" s="40">
        <f t="shared" si="30"/>
        <v>0</v>
      </c>
      <c r="P52" s="41">
        <f t="shared" si="31"/>
        <v>0</v>
      </c>
      <c r="Q52" s="41" cm="1">
        <f t="array" ref="Q52">MAX(IF($A:$A=$A52, $P:$P))</f>
        <v>0</v>
      </c>
      <c r="R52" s="113"/>
      <c r="S52" s="116"/>
      <c r="T52" s="117"/>
      <c r="U52" s="39" t="str">
        <f>IF(S52 &gt; 0,INDEX(Inventory!E:E,MATCH(R52, Inventory!A:A),1), "")</f>
        <v/>
      </c>
      <c r="V52" s="40">
        <f t="shared" si="32"/>
        <v>0</v>
      </c>
      <c r="W52" s="41">
        <f t="shared" si="33"/>
        <v>0</v>
      </c>
      <c r="Z52" s="38"/>
      <c r="AA52" s="39" t="str">
        <f>IF(Y52&gt;0, INDEX(Inventory!E:E,MATCH(X52, Inventory!A:A),1), "")</f>
        <v/>
      </c>
      <c r="AB52" s="42">
        <f t="shared" si="34"/>
        <v>0</v>
      </c>
      <c r="AC52" s="41">
        <f t="shared" si="35"/>
        <v>0</v>
      </c>
      <c r="AD52" s="114">
        <f t="shared" si="36"/>
        <v>0</v>
      </c>
      <c r="AE52" s="7">
        <f t="shared" si="37"/>
        <v>0</v>
      </c>
      <c r="AF52" s="7">
        <f t="shared" si="38"/>
        <v>0</v>
      </c>
      <c r="AG52" s="43">
        <f t="shared" si="39"/>
        <v>138.57499999999999</v>
      </c>
      <c r="AH52" s="43">
        <f t="shared" si="40"/>
        <v>0</v>
      </c>
      <c r="AI52" s="43">
        <f t="shared" si="41"/>
        <v>0</v>
      </c>
    </row>
    <row r="53" spans="1:35" x14ac:dyDescent="0.25">
      <c r="A53" s="113" t="s">
        <v>736</v>
      </c>
      <c r="C53" t="s">
        <v>847</v>
      </c>
      <c r="D53" t="s">
        <v>838</v>
      </c>
      <c r="F53" s="34">
        <v>1</v>
      </c>
      <c r="G53" s="54">
        <f t="shared" si="28"/>
        <v>0</v>
      </c>
      <c r="H53" s="36">
        <f t="shared" si="29"/>
        <v>184</v>
      </c>
      <c r="I53" s="37"/>
      <c r="J53" s="140">
        <v>1</v>
      </c>
      <c r="K53" t="s">
        <v>735</v>
      </c>
      <c r="L53" s="24">
        <v>30</v>
      </c>
      <c r="M53" s="38"/>
      <c r="N53" s="39">
        <f>INDEX(Inventory!E:E,MATCH(K53, Inventory!A:A),1)</f>
        <v>5543</v>
      </c>
      <c r="O53" s="40">
        <f t="shared" si="30"/>
        <v>0</v>
      </c>
      <c r="P53" s="41">
        <f t="shared" si="31"/>
        <v>0</v>
      </c>
      <c r="Q53" s="41" cm="1">
        <f t="array" ref="Q53">MAX(IF($A:$A=$A53, $P:$P))</f>
        <v>0</v>
      </c>
      <c r="R53" s="113"/>
      <c r="S53" s="116"/>
      <c r="T53" s="117"/>
      <c r="U53" s="39" t="str">
        <f>IF(S53 &gt; 0,INDEX(Inventory!E:E,MATCH(R53, Inventory!A:A),1), "")</f>
        <v/>
      </c>
      <c r="V53" s="40">
        <f t="shared" si="32"/>
        <v>0</v>
      </c>
      <c r="W53" s="41">
        <f t="shared" si="33"/>
        <v>0</v>
      </c>
      <c r="Z53" s="38"/>
      <c r="AA53" s="39" t="str">
        <f>IF(Y53&gt;0, INDEX(Inventory!E:E,MATCH(X53, Inventory!A:A),1), "")</f>
        <v/>
      </c>
      <c r="AB53" s="42">
        <f t="shared" si="34"/>
        <v>0</v>
      </c>
      <c r="AC53" s="41">
        <f t="shared" si="35"/>
        <v>0</v>
      </c>
      <c r="AD53" s="114">
        <f t="shared" si="36"/>
        <v>0</v>
      </c>
      <c r="AE53" s="7">
        <f t="shared" si="37"/>
        <v>0</v>
      </c>
      <c r="AF53" s="7">
        <f t="shared" si="38"/>
        <v>0</v>
      </c>
      <c r="AG53" s="43">
        <f t="shared" si="39"/>
        <v>184.76666666666668</v>
      </c>
      <c r="AH53" s="43">
        <f t="shared" si="40"/>
        <v>0</v>
      </c>
      <c r="AI53" s="43">
        <f t="shared" si="41"/>
        <v>0</v>
      </c>
    </row>
    <row r="54" spans="1:35" x14ac:dyDescent="0.25">
      <c r="A54" s="113" t="s">
        <v>737</v>
      </c>
      <c r="C54" t="s">
        <v>837</v>
      </c>
      <c r="D54" t="s">
        <v>838</v>
      </c>
      <c r="E54" t="s">
        <v>196</v>
      </c>
      <c r="F54" s="34">
        <v>1</v>
      </c>
      <c r="G54" s="95">
        <f t="shared" si="28"/>
        <v>1</v>
      </c>
      <c r="H54" s="36">
        <f t="shared" si="29"/>
        <v>47</v>
      </c>
      <c r="I54" s="37">
        <v>120</v>
      </c>
      <c r="J54" s="140">
        <v>3</v>
      </c>
      <c r="K54" t="s">
        <v>194</v>
      </c>
      <c r="L54" s="24">
        <v>30</v>
      </c>
      <c r="M54" s="45">
        <v>30</v>
      </c>
      <c r="N54" s="69">
        <f>INDEX(Inventory!E:E,MATCH(K54, Inventory!A:A),1)</f>
        <v>1416</v>
      </c>
      <c r="O54" s="48">
        <f t="shared" si="30"/>
        <v>3600</v>
      </c>
      <c r="P54" s="41">
        <f t="shared" si="31"/>
        <v>0.39333333333333331</v>
      </c>
      <c r="Q54" s="41" cm="1">
        <f t="array" ref="Q54">MAX(IF($A:$A=$A54, $P:$P))</f>
        <v>0.39333333333333331</v>
      </c>
      <c r="R54" s="113" t="s">
        <v>752</v>
      </c>
      <c r="S54" s="116">
        <v>10</v>
      </c>
      <c r="T54" s="117">
        <v>10</v>
      </c>
      <c r="U54" s="69">
        <f>IF(S54 &gt; 0,INDEX(Inventory!E:E,MATCH(R54, Inventory!A:A),1), "")</f>
        <v>4286</v>
      </c>
      <c r="V54" s="48">
        <f t="shared" si="32"/>
        <v>1200</v>
      </c>
      <c r="W54" s="41">
        <f t="shared" si="33"/>
        <v>3.5716666666666668</v>
      </c>
      <c r="X54" t="s">
        <v>743</v>
      </c>
      <c r="Y54" s="24">
        <v>120</v>
      </c>
      <c r="Z54" s="38">
        <v>120</v>
      </c>
      <c r="AA54" s="69">
        <f>IF(Y54&gt;0, INDEX(Inventory!E:E,MATCH(X54, Inventory!A:A),1), "")</f>
        <v>7926</v>
      </c>
      <c r="AB54" s="49">
        <f t="shared" si="34"/>
        <v>14400</v>
      </c>
      <c r="AC54" s="41">
        <f t="shared" si="35"/>
        <v>0.55041666666666667</v>
      </c>
      <c r="AD54" s="114">
        <f t="shared" si="36"/>
        <v>0</v>
      </c>
      <c r="AE54" s="7">
        <f t="shared" si="37"/>
        <v>0</v>
      </c>
      <c r="AF54" s="7">
        <f t="shared" si="38"/>
        <v>1</v>
      </c>
      <c r="AG54" s="43">
        <f t="shared" si="39"/>
        <v>0</v>
      </c>
      <c r="AH54" s="43">
        <f t="shared" si="40"/>
        <v>0</v>
      </c>
      <c r="AI54" s="43">
        <f t="shared" si="41"/>
        <v>47.2</v>
      </c>
    </row>
    <row r="55" spans="1:35" x14ac:dyDescent="0.25">
      <c r="A55" s="113" t="s">
        <v>737</v>
      </c>
      <c r="C55" t="s">
        <v>837</v>
      </c>
      <c r="D55" t="s">
        <v>838</v>
      </c>
      <c r="E55" t="s">
        <v>196</v>
      </c>
      <c r="F55" s="34">
        <v>1</v>
      </c>
      <c r="G55" s="55">
        <f t="shared" si="28"/>
        <v>0</v>
      </c>
      <c r="H55" s="36">
        <f t="shared" si="29"/>
        <v>47</v>
      </c>
      <c r="I55" s="37">
        <v>120</v>
      </c>
      <c r="J55" s="140">
        <v>3</v>
      </c>
      <c r="K55" t="s">
        <v>194</v>
      </c>
      <c r="L55" s="24">
        <v>30</v>
      </c>
      <c r="M55" s="45"/>
      <c r="N55" s="58">
        <f>INDEX(Inventory!E:E,MATCH(K55, Inventory!A:A),1)</f>
        <v>1416</v>
      </c>
      <c r="O55" s="48">
        <f t="shared" si="30"/>
        <v>3600</v>
      </c>
      <c r="P55" s="41">
        <f t="shared" si="31"/>
        <v>0.39333333333333331</v>
      </c>
      <c r="Q55" s="41" cm="1">
        <f t="array" ref="Q55">MAX(IF($A:$A=$A55, $P:$P))</f>
        <v>0.39333333333333331</v>
      </c>
      <c r="R55" s="113" t="s">
        <v>774</v>
      </c>
      <c r="S55" s="116">
        <v>5</v>
      </c>
      <c r="T55" s="117"/>
      <c r="U55" s="58">
        <f>IF(S55 &gt; 0,INDEX(Inventory!E:E,MATCH(R55, Inventory!A:A),1), "")</f>
        <v>9743</v>
      </c>
      <c r="V55" s="48">
        <f t="shared" si="32"/>
        <v>600</v>
      </c>
      <c r="W55" s="41">
        <f t="shared" si="33"/>
        <v>16.238333333333333</v>
      </c>
      <c r="X55" t="s">
        <v>743</v>
      </c>
      <c r="Y55" s="24">
        <v>120</v>
      </c>
      <c r="Z55" s="38"/>
      <c r="AA55" s="58">
        <f>IF(Y55&gt;0, INDEX(Inventory!E:E,MATCH(X55, Inventory!A:A),1), "")</f>
        <v>7926</v>
      </c>
      <c r="AB55" s="49">
        <f t="shared" si="34"/>
        <v>14400</v>
      </c>
      <c r="AC55" s="41">
        <f t="shared" si="35"/>
        <v>0.55041666666666667</v>
      </c>
      <c r="AD55" s="114">
        <f t="shared" si="36"/>
        <v>0</v>
      </c>
      <c r="AE55" s="7">
        <f t="shared" si="37"/>
        <v>0</v>
      </c>
      <c r="AF55" s="7">
        <f t="shared" si="38"/>
        <v>0</v>
      </c>
      <c r="AG55" s="43">
        <f t="shared" si="39"/>
        <v>0</v>
      </c>
      <c r="AH55" s="43">
        <f t="shared" si="40"/>
        <v>0</v>
      </c>
      <c r="AI55" s="43">
        <f t="shared" si="41"/>
        <v>47.2</v>
      </c>
    </row>
    <row r="56" spans="1:35" x14ac:dyDescent="0.25">
      <c r="A56" s="113" t="s">
        <v>737</v>
      </c>
      <c r="C56" t="s">
        <v>837</v>
      </c>
      <c r="D56" t="s">
        <v>838</v>
      </c>
      <c r="E56" t="s">
        <v>196</v>
      </c>
      <c r="F56" s="34">
        <v>1</v>
      </c>
      <c r="G56" s="55">
        <f t="shared" si="28"/>
        <v>2</v>
      </c>
      <c r="H56" s="36">
        <f t="shared" si="29"/>
        <v>47</v>
      </c>
      <c r="I56" s="37">
        <v>120</v>
      </c>
      <c r="J56" s="140">
        <v>3</v>
      </c>
      <c r="K56" t="s">
        <v>194</v>
      </c>
      <c r="L56" s="24">
        <v>30</v>
      </c>
      <c r="M56" s="45">
        <v>60</v>
      </c>
      <c r="N56" s="58">
        <f>INDEX(Inventory!E:E,MATCH(K56, Inventory!A:A),1)</f>
        <v>1416</v>
      </c>
      <c r="O56" s="48">
        <f t="shared" si="30"/>
        <v>3600</v>
      </c>
      <c r="P56" s="41">
        <f t="shared" si="31"/>
        <v>0.39333333333333331</v>
      </c>
      <c r="Q56" s="41" cm="1">
        <f t="array" ref="Q56">MAX(IF($A:$A=$A56, $P:$P))</f>
        <v>0.39333333333333331</v>
      </c>
      <c r="R56" s="113" t="s">
        <v>792</v>
      </c>
      <c r="S56" s="116">
        <v>20</v>
      </c>
      <c r="T56" s="117">
        <v>40</v>
      </c>
      <c r="U56" s="58">
        <f>IF(S56 &gt; 0,INDEX(Inventory!E:E,MATCH(R56, Inventory!A:A),1), "")</f>
        <v>16709</v>
      </c>
      <c r="V56" s="48">
        <f t="shared" si="32"/>
        <v>2400</v>
      </c>
      <c r="W56" s="41">
        <f t="shared" si="33"/>
        <v>6.9620833333333332</v>
      </c>
      <c r="X56" t="s">
        <v>743</v>
      </c>
      <c r="Y56" s="24">
        <v>120</v>
      </c>
      <c r="Z56" s="38">
        <v>240</v>
      </c>
      <c r="AA56" s="58">
        <f>IF(Y56&gt;0, INDEX(Inventory!E:E,MATCH(X56, Inventory!A:A),1), "")</f>
        <v>7926</v>
      </c>
      <c r="AB56" s="49">
        <f t="shared" si="34"/>
        <v>14400</v>
      </c>
      <c r="AC56" s="41">
        <f t="shared" si="35"/>
        <v>0.55041666666666667</v>
      </c>
      <c r="AD56" s="114">
        <f t="shared" si="36"/>
        <v>0</v>
      </c>
      <c r="AE56" s="7">
        <f t="shared" si="37"/>
        <v>0</v>
      </c>
      <c r="AF56" s="7">
        <f t="shared" si="38"/>
        <v>2</v>
      </c>
      <c r="AG56" s="43">
        <f t="shared" si="39"/>
        <v>0</v>
      </c>
      <c r="AH56" s="43">
        <f t="shared" si="40"/>
        <v>0</v>
      </c>
      <c r="AI56" s="43">
        <f t="shared" si="41"/>
        <v>47.2</v>
      </c>
    </row>
    <row r="57" spans="1:35" x14ac:dyDescent="0.25">
      <c r="A57" s="113" t="s">
        <v>737</v>
      </c>
      <c r="C57" t="s">
        <v>837</v>
      </c>
      <c r="D57" t="s">
        <v>838</v>
      </c>
      <c r="E57" t="s">
        <v>196</v>
      </c>
      <c r="F57" s="34">
        <v>1</v>
      </c>
      <c r="G57" s="55">
        <f t="shared" si="28"/>
        <v>0</v>
      </c>
      <c r="H57" s="36">
        <f t="shared" si="29"/>
        <v>22</v>
      </c>
      <c r="I57" s="37">
        <v>120</v>
      </c>
      <c r="J57" s="140">
        <v>3</v>
      </c>
      <c r="K57" t="s">
        <v>194</v>
      </c>
      <c r="L57" s="24">
        <v>30</v>
      </c>
      <c r="M57" s="45"/>
      <c r="N57" s="58">
        <f>INDEX(Inventory!E:E,MATCH(K57, Inventory!A:A),1)</f>
        <v>1416</v>
      </c>
      <c r="O57" s="48">
        <f t="shared" si="30"/>
        <v>3600</v>
      </c>
      <c r="P57" s="41">
        <f t="shared" si="31"/>
        <v>0.39333333333333331</v>
      </c>
      <c r="Q57" s="41" cm="1">
        <f t="array" ref="Q57">MAX(IF($A:$A=$A57, $P:$P))</f>
        <v>0.39333333333333331</v>
      </c>
      <c r="R57" s="113" t="s">
        <v>752</v>
      </c>
      <c r="S57" s="116">
        <v>10</v>
      </c>
      <c r="T57" s="117"/>
      <c r="U57" s="58">
        <f>IF(S57 &gt; 0,INDEX(Inventory!E:E,MATCH(R57, Inventory!A:A),1), "")</f>
        <v>4286</v>
      </c>
      <c r="V57" s="48">
        <f t="shared" si="32"/>
        <v>1200</v>
      </c>
      <c r="W57" s="41">
        <f t="shared" si="33"/>
        <v>3.5716666666666668</v>
      </c>
      <c r="X57" t="s">
        <v>778</v>
      </c>
      <c r="Y57" s="24">
        <v>60</v>
      </c>
      <c r="Z57" s="38"/>
      <c r="AA57" s="58">
        <f>IF(Y57&gt;0, INDEX(Inventory!E:E,MATCH(X57, Inventory!A:A),1), "")</f>
        <v>1356</v>
      </c>
      <c r="AB57" s="49">
        <f t="shared" si="34"/>
        <v>7200</v>
      </c>
      <c r="AC57" s="41">
        <f t="shared" si="35"/>
        <v>0.18833333333333332</v>
      </c>
      <c r="AD57" s="114">
        <f t="shared" si="36"/>
        <v>0</v>
      </c>
      <c r="AE57" s="7">
        <f t="shared" si="37"/>
        <v>0</v>
      </c>
      <c r="AF57" s="7">
        <f t="shared" si="38"/>
        <v>0</v>
      </c>
      <c r="AG57" s="43">
        <f t="shared" si="39"/>
        <v>0</v>
      </c>
      <c r="AH57" s="43">
        <f t="shared" si="40"/>
        <v>0</v>
      </c>
      <c r="AI57" s="43">
        <f t="shared" si="41"/>
        <v>22.6</v>
      </c>
    </row>
    <row r="58" spans="1:35" x14ac:dyDescent="0.25">
      <c r="A58" s="113" t="s">
        <v>737</v>
      </c>
      <c r="C58" t="s">
        <v>837</v>
      </c>
      <c r="D58" t="s">
        <v>838</v>
      </c>
      <c r="E58" t="s">
        <v>196</v>
      </c>
      <c r="F58" s="34">
        <v>1</v>
      </c>
      <c r="G58" s="55">
        <f t="shared" si="28"/>
        <v>0</v>
      </c>
      <c r="H58" s="36">
        <f t="shared" si="29"/>
        <v>22</v>
      </c>
      <c r="I58" s="37">
        <v>120</v>
      </c>
      <c r="J58" s="140">
        <v>3</v>
      </c>
      <c r="K58" t="s">
        <v>194</v>
      </c>
      <c r="L58" s="24">
        <v>30</v>
      </c>
      <c r="M58" s="45"/>
      <c r="N58" s="58">
        <f>INDEX(Inventory!E:E,MATCH(K58, Inventory!A:A),1)</f>
        <v>1416</v>
      </c>
      <c r="O58" s="48">
        <f t="shared" si="30"/>
        <v>3600</v>
      </c>
      <c r="P58" s="41">
        <f t="shared" si="31"/>
        <v>0.39333333333333331</v>
      </c>
      <c r="Q58" s="41" cm="1">
        <f t="array" ref="Q58">MAX(IF($A:$A=$A58, $P:$P))</f>
        <v>0.39333333333333331</v>
      </c>
      <c r="R58" s="113" t="s">
        <v>774</v>
      </c>
      <c r="S58" s="116">
        <v>5</v>
      </c>
      <c r="T58" s="117"/>
      <c r="U58" s="58">
        <f>IF(S58 &gt; 0,INDEX(Inventory!E:E,MATCH(R58, Inventory!A:A),1), "")</f>
        <v>9743</v>
      </c>
      <c r="V58" s="48">
        <f t="shared" si="32"/>
        <v>600</v>
      </c>
      <c r="W58" s="41">
        <f t="shared" si="33"/>
        <v>16.238333333333333</v>
      </c>
      <c r="X58" t="s">
        <v>778</v>
      </c>
      <c r="Y58" s="24">
        <v>60</v>
      </c>
      <c r="Z58" s="38"/>
      <c r="AA58" s="58">
        <f>IF(Y58&gt;0, INDEX(Inventory!E:E,MATCH(X58, Inventory!A:A),1), "")</f>
        <v>1356</v>
      </c>
      <c r="AB58" s="49">
        <f t="shared" si="34"/>
        <v>7200</v>
      </c>
      <c r="AC58" s="41">
        <f t="shared" si="35"/>
        <v>0.18833333333333332</v>
      </c>
      <c r="AD58" s="114">
        <f t="shared" si="36"/>
        <v>0</v>
      </c>
      <c r="AE58" s="7">
        <f t="shared" si="37"/>
        <v>0</v>
      </c>
      <c r="AF58" s="7">
        <f t="shared" si="38"/>
        <v>0</v>
      </c>
      <c r="AG58" s="43">
        <f t="shared" si="39"/>
        <v>0</v>
      </c>
      <c r="AH58" s="43">
        <f t="shared" si="40"/>
        <v>0</v>
      </c>
      <c r="AI58" s="43">
        <f t="shared" si="41"/>
        <v>22.6</v>
      </c>
    </row>
    <row r="59" spans="1:35" x14ac:dyDescent="0.25">
      <c r="A59" s="113" t="s">
        <v>737</v>
      </c>
      <c r="C59" t="s">
        <v>837</v>
      </c>
      <c r="D59" t="s">
        <v>838</v>
      </c>
      <c r="E59" t="s">
        <v>196</v>
      </c>
      <c r="F59" s="34">
        <v>1</v>
      </c>
      <c r="G59" s="55">
        <f t="shared" si="28"/>
        <v>0</v>
      </c>
      <c r="H59" s="36">
        <f t="shared" si="29"/>
        <v>22</v>
      </c>
      <c r="I59" s="37">
        <v>120</v>
      </c>
      <c r="J59" s="140">
        <v>3</v>
      </c>
      <c r="K59" t="s">
        <v>194</v>
      </c>
      <c r="L59" s="24">
        <v>30</v>
      </c>
      <c r="M59" s="45"/>
      <c r="N59" s="58">
        <f>INDEX(Inventory!E:E,MATCH(K59, Inventory!A:A),1)</f>
        <v>1416</v>
      </c>
      <c r="O59" s="48">
        <f t="shared" si="30"/>
        <v>3600</v>
      </c>
      <c r="P59" s="41">
        <f t="shared" si="31"/>
        <v>0.39333333333333331</v>
      </c>
      <c r="Q59" s="41" cm="1">
        <f t="array" ref="Q59">MAX(IF($A:$A=$A59, $P:$P))</f>
        <v>0.39333333333333331</v>
      </c>
      <c r="R59" s="113" t="s">
        <v>792</v>
      </c>
      <c r="S59" s="116">
        <v>20</v>
      </c>
      <c r="T59" s="117"/>
      <c r="U59" s="58">
        <f>IF(S59 &gt; 0,INDEX(Inventory!E:E,MATCH(R59, Inventory!A:A),1), "")</f>
        <v>16709</v>
      </c>
      <c r="V59" s="48">
        <f t="shared" si="32"/>
        <v>2400</v>
      </c>
      <c r="W59" s="41">
        <f t="shared" si="33"/>
        <v>6.9620833333333332</v>
      </c>
      <c r="X59" t="s">
        <v>778</v>
      </c>
      <c r="Y59" s="24">
        <v>60</v>
      </c>
      <c r="Z59" s="38"/>
      <c r="AA59" s="58">
        <f>IF(Y59&gt;0, INDEX(Inventory!E:E,MATCH(X59, Inventory!A:A),1), "")</f>
        <v>1356</v>
      </c>
      <c r="AB59" s="49">
        <f t="shared" si="34"/>
        <v>7200</v>
      </c>
      <c r="AC59" s="41">
        <f t="shared" si="35"/>
        <v>0.18833333333333332</v>
      </c>
      <c r="AD59" s="114">
        <f t="shared" si="36"/>
        <v>0</v>
      </c>
      <c r="AE59" s="7">
        <f t="shared" si="37"/>
        <v>0</v>
      </c>
      <c r="AF59" s="7">
        <f t="shared" si="38"/>
        <v>0</v>
      </c>
      <c r="AG59" s="43">
        <f t="shared" si="39"/>
        <v>0</v>
      </c>
      <c r="AH59" s="43">
        <f t="shared" si="40"/>
        <v>0</v>
      </c>
      <c r="AI59" s="43">
        <f t="shared" si="41"/>
        <v>22.6</v>
      </c>
    </row>
    <row r="60" spans="1:35" x14ac:dyDescent="0.25">
      <c r="A60" s="113" t="s">
        <v>737</v>
      </c>
      <c r="C60" t="s">
        <v>837</v>
      </c>
      <c r="D60" t="s">
        <v>833</v>
      </c>
      <c r="E60" t="s">
        <v>196</v>
      </c>
      <c r="F60" s="34">
        <v>1</v>
      </c>
      <c r="G60" s="55">
        <f t="shared" si="28"/>
        <v>2</v>
      </c>
      <c r="H60" s="36">
        <f t="shared" si="29"/>
        <v>13</v>
      </c>
      <c r="I60" s="37">
        <v>120</v>
      </c>
      <c r="J60" s="140">
        <v>2</v>
      </c>
      <c r="K60" t="s">
        <v>194</v>
      </c>
      <c r="L60" s="24">
        <v>50</v>
      </c>
      <c r="M60" s="45">
        <v>100</v>
      </c>
      <c r="N60" s="58">
        <f>INDEX(Inventory!E:E,MATCH(K60, Inventory!A:A),1)</f>
        <v>1416</v>
      </c>
      <c r="O60" s="48">
        <f t="shared" si="30"/>
        <v>6000</v>
      </c>
      <c r="P60" s="41">
        <f t="shared" si="31"/>
        <v>0.23599999999999999</v>
      </c>
      <c r="Q60" s="41" cm="1">
        <f t="array" ref="Q60">MAX(IF($A:$A=$A60, $P:$P))</f>
        <v>0.39333333333333331</v>
      </c>
      <c r="R60" s="113" t="s">
        <v>778</v>
      </c>
      <c r="S60" s="116">
        <v>100</v>
      </c>
      <c r="T60" s="117">
        <v>200</v>
      </c>
      <c r="U60" s="58">
        <f>IF(S60 &gt; 0,INDEX(Inventory!E:E,MATCH(R60, Inventory!A:A),1), "")</f>
        <v>1356</v>
      </c>
      <c r="V60" s="48">
        <f t="shared" si="32"/>
        <v>12000</v>
      </c>
      <c r="W60" s="41">
        <f t="shared" si="33"/>
        <v>0.113</v>
      </c>
      <c r="Z60" s="38"/>
      <c r="AA60" s="58" t="str">
        <f>IF(Y60&gt;0, INDEX(Inventory!E:E,MATCH(X60, Inventory!A:A),1), "")</f>
        <v/>
      </c>
      <c r="AB60" s="49">
        <f t="shared" si="34"/>
        <v>0</v>
      </c>
      <c r="AC60" s="41">
        <f t="shared" si="35"/>
        <v>0</v>
      </c>
      <c r="AD60" s="114">
        <f t="shared" si="36"/>
        <v>0</v>
      </c>
      <c r="AE60" s="7">
        <f t="shared" si="37"/>
        <v>2</v>
      </c>
      <c r="AF60" s="7">
        <f t="shared" si="38"/>
        <v>0</v>
      </c>
      <c r="AG60" s="43">
        <f t="shared" si="39"/>
        <v>0</v>
      </c>
      <c r="AH60" s="43">
        <f t="shared" si="40"/>
        <v>13.56</v>
      </c>
      <c r="AI60" s="43">
        <f t="shared" si="41"/>
        <v>0</v>
      </c>
    </row>
    <row r="61" spans="1:35" x14ac:dyDescent="0.25">
      <c r="A61" s="113" t="s">
        <v>855</v>
      </c>
      <c r="B61" s="113" t="s">
        <v>856</v>
      </c>
      <c r="C61" t="s">
        <v>836</v>
      </c>
      <c r="D61" t="s">
        <v>833</v>
      </c>
      <c r="F61" s="34">
        <v>1</v>
      </c>
      <c r="G61" s="55">
        <f t="shared" si="28"/>
        <v>0</v>
      </c>
      <c r="H61" s="36">
        <f t="shared" si="29"/>
        <v>282</v>
      </c>
      <c r="I61" s="37">
        <v>233</v>
      </c>
      <c r="J61" s="24">
        <v>3</v>
      </c>
      <c r="K61" t="s">
        <v>196</v>
      </c>
      <c r="L61" s="24">
        <v>60</v>
      </c>
      <c r="M61" s="45"/>
      <c r="N61" s="56">
        <f>INDEX(Inventory!E:E,MATCH(K61, Inventory!A:A),1)</f>
        <v>616165</v>
      </c>
      <c r="O61" s="48">
        <f t="shared" si="30"/>
        <v>13980</v>
      </c>
      <c r="P61" s="41">
        <f t="shared" si="31"/>
        <v>44.074749642346212</v>
      </c>
      <c r="Q61" s="41" cm="1">
        <f t="array" ref="Q61">MAX(IF($A:$A=$A61, $P:$P))</f>
        <v>44.074749642346212</v>
      </c>
      <c r="R61" s="113" t="s">
        <v>209</v>
      </c>
      <c r="S61" s="116">
        <v>35</v>
      </c>
      <c r="T61" s="117"/>
      <c r="U61" s="56">
        <f>IF(S61 &gt; 0,INDEX(Inventory!E:E,MATCH(R61, Inventory!A:A),1), "")</f>
        <v>9872</v>
      </c>
      <c r="V61" s="48">
        <f t="shared" si="32"/>
        <v>8155</v>
      </c>
      <c r="W61" s="41">
        <f t="shared" si="33"/>
        <v>1.2105456774984671</v>
      </c>
      <c r="X61" s="113" t="s">
        <v>740</v>
      </c>
      <c r="Y61" s="24">
        <v>25</v>
      </c>
      <c r="Z61" s="117"/>
      <c r="AA61" s="56">
        <f>IF(Y61&gt;0, INDEX(Inventory!E:E,MATCH(X61, Inventory!A:A),1), "")</f>
        <v>65932</v>
      </c>
      <c r="AB61" s="48">
        <f t="shared" si="34"/>
        <v>5825</v>
      </c>
      <c r="AC61" s="41">
        <f t="shared" si="35"/>
        <v>11.318798283261803</v>
      </c>
      <c r="AD61" s="114">
        <f t="shared" si="36"/>
        <v>0</v>
      </c>
      <c r="AE61" s="7">
        <f t="shared" si="37"/>
        <v>0</v>
      </c>
      <c r="AF61" s="7">
        <f t="shared" si="38"/>
        <v>0</v>
      </c>
      <c r="AG61" s="43">
        <f t="shared" si="39"/>
        <v>0</v>
      </c>
      <c r="AH61" s="43">
        <f t="shared" si="40"/>
        <v>0</v>
      </c>
      <c r="AI61" s="43">
        <f t="shared" si="41"/>
        <v>282.05714285714288</v>
      </c>
    </row>
    <row r="62" spans="1:35" x14ac:dyDescent="0.25">
      <c r="A62" s="113" t="s">
        <v>739</v>
      </c>
      <c r="C62" t="s">
        <v>858</v>
      </c>
      <c r="D62" t="s">
        <v>833</v>
      </c>
      <c r="E62" t="s">
        <v>857</v>
      </c>
      <c r="F62" s="34">
        <v>1</v>
      </c>
      <c r="G62" s="54">
        <f t="shared" si="28"/>
        <v>0</v>
      </c>
      <c r="H62" s="36">
        <f t="shared" si="29"/>
        <v>17</v>
      </c>
      <c r="I62" s="37"/>
      <c r="J62" s="140">
        <v>2</v>
      </c>
      <c r="K62" t="s">
        <v>781</v>
      </c>
      <c r="L62" s="24">
        <v>250</v>
      </c>
      <c r="M62" s="38"/>
      <c r="N62" s="56">
        <f>INDEX(Inventory!E:E,MATCH(K62, Inventory!A:A),1)</f>
        <v>4291</v>
      </c>
      <c r="O62" s="48">
        <f t="shared" si="30"/>
        <v>0</v>
      </c>
      <c r="P62" s="41">
        <f t="shared" si="31"/>
        <v>0</v>
      </c>
      <c r="Q62" s="41" cm="1">
        <f t="array" ref="Q62">MAX(IF($A:$A=$A62, $P:$P))</f>
        <v>0</v>
      </c>
      <c r="R62" s="113" t="s">
        <v>728</v>
      </c>
      <c r="S62" s="116">
        <v>50</v>
      </c>
      <c r="T62" s="117"/>
      <c r="U62" s="56">
        <f>IF(S62 &gt; 0,INDEX(Inventory!E:E,MATCH(R62, Inventory!A:A),1), "")</f>
        <v>4281</v>
      </c>
      <c r="V62" s="48">
        <f t="shared" si="32"/>
        <v>0</v>
      </c>
      <c r="W62" s="41">
        <f t="shared" si="33"/>
        <v>0</v>
      </c>
      <c r="Z62" s="38"/>
      <c r="AA62" s="56" t="str">
        <f>IF(Y62&gt;0, INDEX(Inventory!E:E,MATCH(X62, Inventory!A:A),1), "")</f>
        <v/>
      </c>
      <c r="AB62" s="42">
        <f t="shared" si="34"/>
        <v>0</v>
      </c>
      <c r="AC62" s="41">
        <f t="shared" si="35"/>
        <v>0</v>
      </c>
      <c r="AD62" s="114">
        <f t="shared" si="36"/>
        <v>0</v>
      </c>
      <c r="AE62" s="7">
        <f t="shared" si="37"/>
        <v>0</v>
      </c>
      <c r="AF62" s="7">
        <f t="shared" si="38"/>
        <v>0</v>
      </c>
      <c r="AG62" s="43">
        <f t="shared" si="39"/>
        <v>0</v>
      </c>
      <c r="AH62" s="43">
        <f t="shared" si="40"/>
        <v>17.164000000000001</v>
      </c>
      <c r="AI62" s="43">
        <f t="shared" si="41"/>
        <v>0</v>
      </c>
    </row>
    <row r="63" spans="1:35" x14ac:dyDescent="0.25">
      <c r="A63" s="113" t="s">
        <v>739</v>
      </c>
      <c r="C63" t="s">
        <v>837</v>
      </c>
      <c r="D63" t="s">
        <v>838</v>
      </c>
      <c r="E63" t="s">
        <v>857</v>
      </c>
      <c r="F63" s="34">
        <v>1</v>
      </c>
      <c r="G63" s="35">
        <f t="shared" si="28"/>
        <v>1</v>
      </c>
      <c r="H63" s="36">
        <f t="shared" si="29"/>
        <v>42</v>
      </c>
      <c r="I63" s="37"/>
      <c r="J63" s="140">
        <v>3</v>
      </c>
      <c r="K63" t="s">
        <v>781</v>
      </c>
      <c r="L63" s="24">
        <v>100</v>
      </c>
      <c r="M63" s="38">
        <v>100</v>
      </c>
      <c r="N63" s="39">
        <f>INDEX(Inventory!E:E,MATCH(K63, Inventory!A:A),1)</f>
        <v>4291</v>
      </c>
      <c r="O63" s="48">
        <f t="shared" si="30"/>
        <v>0</v>
      </c>
      <c r="P63" s="41">
        <f t="shared" si="31"/>
        <v>0</v>
      </c>
      <c r="Q63" s="41" cm="1">
        <f t="array" ref="Q63">MAX(IF($A:$A=$A63, $P:$P))</f>
        <v>0</v>
      </c>
      <c r="R63" s="113" t="s">
        <v>723</v>
      </c>
      <c r="S63" s="116">
        <v>20</v>
      </c>
      <c r="T63" s="117">
        <v>20</v>
      </c>
      <c r="U63" s="39">
        <f>IF(S63 &gt; 0,INDEX(Inventory!E:E,MATCH(R63, Inventory!A:A),1), "")</f>
        <v>1926</v>
      </c>
      <c r="V63" s="48">
        <f t="shared" si="32"/>
        <v>0</v>
      </c>
      <c r="W63" s="41">
        <f t="shared" si="33"/>
        <v>0</v>
      </c>
      <c r="X63" t="s">
        <v>725</v>
      </c>
      <c r="Y63" s="24">
        <v>5</v>
      </c>
      <c r="Z63" s="38">
        <v>5</v>
      </c>
      <c r="AA63" s="39">
        <f>IF(Y63&gt;0, INDEX(Inventory!E:E,MATCH(X63, Inventory!A:A),1), "")</f>
        <v>6476</v>
      </c>
      <c r="AB63" s="42">
        <f t="shared" si="34"/>
        <v>0</v>
      </c>
      <c r="AC63" s="41">
        <f t="shared" si="35"/>
        <v>0</v>
      </c>
      <c r="AD63" s="114">
        <f t="shared" si="36"/>
        <v>0</v>
      </c>
      <c r="AE63" s="7">
        <f t="shared" si="37"/>
        <v>0</v>
      </c>
      <c r="AF63" s="7">
        <f t="shared" si="38"/>
        <v>1</v>
      </c>
      <c r="AG63" s="43">
        <f t="shared" si="39"/>
        <v>0</v>
      </c>
      <c r="AH63" s="43">
        <f t="shared" si="40"/>
        <v>0</v>
      </c>
      <c r="AI63" s="43">
        <f t="shared" si="41"/>
        <v>42.91</v>
      </c>
    </row>
    <row r="64" spans="1:35" x14ac:dyDescent="0.25">
      <c r="A64" s="113" t="s">
        <v>739</v>
      </c>
      <c r="C64" t="s">
        <v>837</v>
      </c>
      <c r="D64" t="s">
        <v>838</v>
      </c>
      <c r="E64" t="s">
        <v>857</v>
      </c>
      <c r="F64" s="34">
        <v>1</v>
      </c>
      <c r="G64" s="54">
        <f t="shared" si="28"/>
        <v>0</v>
      </c>
      <c r="H64" s="36">
        <f t="shared" si="29"/>
        <v>42</v>
      </c>
      <c r="I64" s="37"/>
      <c r="J64" s="140">
        <v>3</v>
      </c>
      <c r="K64" t="s">
        <v>781</v>
      </c>
      <c r="L64" s="24">
        <v>100</v>
      </c>
      <c r="M64" s="45"/>
      <c r="N64" s="56">
        <f>INDEX(Inventory!E:E,MATCH(K64, Inventory!A:A),1)</f>
        <v>4291</v>
      </c>
      <c r="O64" s="48">
        <f t="shared" si="30"/>
        <v>0</v>
      </c>
      <c r="P64" s="41">
        <f t="shared" si="31"/>
        <v>0</v>
      </c>
      <c r="Q64" s="41" cm="1">
        <f t="array" ref="Q64">MAX(IF($A:$A=$A64, $P:$P))</f>
        <v>0</v>
      </c>
      <c r="R64" s="113" t="s">
        <v>728</v>
      </c>
      <c r="S64" s="116">
        <v>10</v>
      </c>
      <c r="T64" s="117"/>
      <c r="U64" s="56">
        <f>IF(S64 &gt; 0,INDEX(Inventory!E:E,MATCH(R64, Inventory!A:A),1), "")</f>
        <v>4281</v>
      </c>
      <c r="V64" s="48">
        <f t="shared" si="32"/>
        <v>0</v>
      </c>
      <c r="W64" s="41">
        <f t="shared" si="33"/>
        <v>0</v>
      </c>
      <c r="X64" t="s">
        <v>725</v>
      </c>
      <c r="Y64" s="24">
        <v>5</v>
      </c>
      <c r="Z64" s="38"/>
      <c r="AA64" s="56">
        <f>IF(Y64&gt;0, INDEX(Inventory!E:E,MATCH(X64, Inventory!A:A),1), "")</f>
        <v>6476</v>
      </c>
      <c r="AB64" s="42">
        <f t="shared" si="34"/>
        <v>0</v>
      </c>
      <c r="AC64" s="41">
        <f t="shared" si="35"/>
        <v>0</v>
      </c>
      <c r="AD64" s="114">
        <f t="shared" si="36"/>
        <v>0</v>
      </c>
      <c r="AE64" s="7">
        <f t="shared" si="37"/>
        <v>0</v>
      </c>
      <c r="AF64" s="7">
        <f t="shared" si="38"/>
        <v>0</v>
      </c>
      <c r="AG64" s="43">
        <f t="shared" si="39"/>
        <v>0</v>
      </c>
      <c r="AH64" s="43">
        <f t="shared" si="40"/>
        <v>0</v>
      </c>
      <c r="AI64" s="43">
        <f t="shared" si="41"/>
        <v>42.91</v>
      </c>
    </row>
    <row r="65" spans="1:35" x14ac:dyDescent="0.25">
      <c r="A65" s="113" t="s">
        <v>739</v>
      </c>
      <c r="C65" t="s">
        <v>837</v>
      </c>
      <c r="D65" t="s">
        <v>838</v>
      </c>
      <c r="E65" t="s">
        <v>857</v>
      </c>
      <c r="F65" s="34">
        <v>1</v>
      </c>
      <c r="G65" s="54">
        <f t="shared" si="28"/>
        <v>0</v>
      </c>
      <c r="H65" s="36">
        <f t="shared" si="29"/>
        <v>42</v>
      </c>
      <c r="I65" s="37"/>
      <c r="J65" s="140">
        <v>3</v>
      </c>
      <c r="K65" t="s">
        <v>781</v>
      </c>
      <c r="L65" s="24">
        <v>100</v>
      </c>
      <c r="M65" s="45"/>
      <c r="N65" s="56">
        <f>INDEX(Inventory!E:E,MATCH(K65, Inventory!A:A),1)</f>
        <v>4291</v>
      </c>
      <c r="O65" s="48">
        <f t="shared" si="30"/>
        <v>0</v>
      </c>
      <c r="P65" s="41">
        <f t="shared" si="31"/>
        <v>0</v>
      </c>
      <c r="Q65" s="41" cm="1">
        <f t="array" ref="Q65">MAX(IF($A:$A=$A65, $P:$P))</f>
        <v>0</v>
      </c>
      <c r="R65" s="113" t="s">
        <v>723</v>
      </c>
      <c r="S65" s="116">
        <v>20</v>
      </c>
      <c r="T65" s="117"/>
      <c r="U65" s="56">
        <f>IF(S65 &gt; 0,INDEX(Inventory!E:E,MATCH(R65, Inventory!A:A),1), "")</f>
        <v>1926</v>
      </c>
      <c r="V65" s="48">
        <f t="shared" si="32"/>
        <v>0</v>
      </c>
      <c r="W65" s="41">
        <f t="shared" si="33"/>
        <v>0</v>
      </c>
      <c r="X65" t="s">
        <v>195</v>
      </c>
      <c r="Y65" s="24">
        <v>10</v>
      </c>
      <c r="Z65" s="38"/>
      <c r="AA65" s="56">
        <f>IF(Y65&gt;0, INDEX(Inventory!E:E,MATCH(X65, Inventory!A:A),1), "")</f>
        <v>15125</v>
      </c>
      <c r="AB65" s="42">
        <f t="shared" si="34"/>
        <v>0</v>
      </c>
      <c r="AC65" s="41">
        <f t="shared" si="35"/>
        <v>0</v>
      </c>
      <c r="AD65" s="114">
        <f t="shared" si="36"/>
        <v>0</v>
      </c>
      <c r="AE65" s="7">
        <f t="shared" si="37"/>
        <v>0</v>
      </c>
      <c r="AF65" s="7">
        <f t="shared" si="38"/>
        <v>0</v>
      </c>
      <c r="AG65" s="43">
        <f t="shared" si="39"/>
        <v>0</v>
      </c>
      <c r="AH65" s="43">
        <f t="shared" si="40"/>
        <v>0</v>
      </c>
      <c r="AI65" s="43">
        <f t="shared" si="41"/>
        <v>42.91</v>
      </c>
    </row>
    <row r="66" spans="1:35" x14ac:dyDescent="0.25">
      <c r="A66" s="113" t="s">
        <v>739</v>
      </c>
      <c r="C66" t="s">
        <v>837</v>
      </c>
      <c r="D66" t="s">
        <v>838</v>
      </c>
      <c r="E66" t="s">
        <v>857</v>
      </c>
      <c r="F66" s="34">
        <v>1</v>
      </c>
      <c r="G66" s="54">
        <f t="shared" si="28"/>
        <v>0</v>
      </c>
      <c r="H66" s="36">
        <f t="shared" si="29"/>
        <v>42</v>
      </c>
      <c r="I66" s="37"/>
      <c r="J66" s="140">
        <v>3</v>
      </c>
      <c r="K66" t="s">
        <v>781</v>
      </c>
      <c r="L66" s="24">
        <v>100</v>
      </c>
      <c r="M66" s="38"/>
      <c r="N66" s="56">
        <f>INDEX(Inventory!E:E,MATCH(K66, Inventory!A:A),1)</f>
        <v>4291</v>
      </c>
      <c r="O66" s="48">
        <f t="shared" si="30"/>
        <v>0</v>
      </c>
      <c r="P66" s="41">
        <f t="shared" si="31"/>
        <v>0</v>
      </c>
      <c r="Q66" s="41" cm="1">
        <f t="array" ref="Q66">MAX(IF($A:$A=$A66, $P:$P))</f>
        <v>0</v>
      </c>
      <c r="R66" s="113" t="s">
        <v>728</v>
      </c>
      <c r="S66" s="116">
        <v>10</v>
      </c>
      <c r="T66" s="117"/>
      <c r="U66" s="56">
        <f>IF(S66 &gt; 0,INDEX(Inventory!E:E,MATCH(R66, Inventory!A:A),1), "")</f>
        <v>4281</v>
      </c>
      <c r="V66" s="48">
        <f t="shared" si="32"/>
        <v>0</v>
      </c>
      <c r="W66" s="41">
        <f t="shared" si="33"/>
        <v>0</v>
      </c>
      <c r="X66" t="s">
        <v>195</v>
      </c>
      <c r="Y66" s="24">
        <v>10</v>
      </c>
      <c r="Z66" s="38"/>
      <c r="AA66" s="56">
        <f>IF(Y66&gt;0, INDEX(Inventory!E:E,MATCH(X66, Inventory!A:A),1), "")</f>
        <v>15125</v>
      </c>
      <c r="AB66" s="42">
        <f t="shared" si="34"/>
        <v>0</v>
      </c>
      <c r="AC66" s="41">
        <f t="shared" si="35"/>
        <v>0</v>
      </c>
      <c r="AD66" s="114">
        <f t="shared" si="36"/>
        <v>0</v>
      </c>
      <c r="AE66" s="7">
        <f t="shared" si="37"/>
        <v>0</v>
      </c>
      <c r="AF66" s="7">
        <f t="shared" si="38"/>
        <v>0</v>
      </c>
      <c r="AG66" s="43">
        <f t="shared" si="39"/>
        <v>0</v>
      </c>
      <c r="AH66" s="43">
        <f t="shared" si="40"/>
        <v>0</v>
      </c>
      <c r="AI66" s="43">
        <f t="shared" si="41"/>
        <v>42.91</v>
      </c>
    </row>
    <row r="67" spans="1:35" x14ac:dyDescent="0.25">
      <c r="A67" s="113" t="s">
        <v>859</v>
      </c>
      <c r="B67" s="113" t="s">
        <v>860</v>
      </c>
      <c r="C67" t="s">
        <v>836</v>
      </c>
      <c r="D67" t="s">
        <v>833</v>
      </c>
      <c r="F67" s="34">
        <v>1</v>
      </c>
      <c r="G67" s="54">
        <f t="shared" si="28"/>
        <v>0</v>
      </c>
      <c r="H67" s="36">
        <f t="shared" si="29"/>
        <v>221</v>
      </c>
      <c r="I67" s="37"/>
      <c r="J67" s="140">
        <v>3</v>
      </c>
      <c r="K67" t="s">
        <v>196</v>
      </c>
      <c r="L67" s="24">
        <v>50</v>
      </c>
      <c r="M67" s="45"/>
      <c r="N67" s="56">
        <f>INDEX(Inventory!E:E,MATCH(K67, Inventory!A:A),1)</f>
        <v>616165</v>
      </c>
      <c r="O67" s="48">
        <f t="shared" si="30"/>
        <v>0</v>
      </c>
      <c r="P67" s="41">
        <f t="shared" si="31"/>
        <v>0</v>
      </c>
      <c r="Q67" s="41" cm="1">
        <f t="array" ref="Q67">MAX(IF($A:$A=$A67, $P:$P))</f>
        <v>0</v>
      </c>
      <c r="R67" s="113" t="s">
        <v>735</v>
      </c>
      <c r="S67" s="116">
        <v>25</v>
      </c>
      <c r="T67" s="117"/>
      <c r="U67" s="56">
        <f>IF(S67 &gt; 0,INDEX(Inventory!E:E,MATCH(R67, Inventory!A:A),1), "")</f>
        <v>5543</v>
      </c>
      <c r="V67" s="48">
        <f t="shared" si="32"/>
        <v>0</v>
      </c>
      <c r="W67" s="41">
        <f t="shared" si="33"/>
        <v>0</v>
      </c>
      <c r="X67" t="s">
        <v>726</v>
      </c>
      <c r="Y67" s="24">
        <v>20</v>
      </c>
      <c r="Z67" s="38"/>
      <c r="AA67" s="56">
        <f>IF(Y67&gt;0, INDEX(Inventory!E:E,MATCH(X67, Inventory!A:A),1), "")</f>
        <v>18593</v>
      </c>
      <c r="AB67" s="42">
        <f t="shared" si="34"/>
        <v>0</v>
      </c>
      <c r="AC67" s="41">
        <f t="shared" si="35"/>
        <v>0</v>
      </c>
      <c r="AD67" s="114">
        <f t="shared" si="36"/>
        <v>0</v>
      </c>
      <c r="AE67" s="7">
        <f t="shared" si="37"/>
        <v>0</v>
      </c>
      <c r="AF67" s="7">
        <f t="shared" si="38"/>
        <v>0</v>
      </c>
      <c r="AG67" s="43">
        <f t="shared" si="39"/>
        <v>0</v>
      </c>
      <c r="AH67" s="43">
        <f t="shared" si="40"/>
        <v>0</v>
      </c>
      <c r="AI67" s="43">
        <f t="shared" si="41"/>
        <v>221.72</v>
      </c>
    </row>
    <row r="68" spans="1:35" x14ac:dyDescent="0.25">
      <c r="A68" s="113" t="s">
        <v>861</v>
      </c>
      <c r="B68" s="113" t="s">
        <v>862</v>
      </c>
      <c r="C68" t="s">
        <v>836</v>
      </c>
      <c r="D68" t="s">
        <v>833</v>
      </c>
      <c r="F68" s="34">
        <v>1</v>
      </c>
      <c r="G68" s="54">
        <f t="shared" ref="G68:G99" si="42">MAX(AD68:AF68)</f>
        <v>0</v>
      </c>
      <c r="H68" s="36">
        <f t="shared" ref="H68:H99" si="43">ROUNDDOWN(MAX(AG68:AI68),0)</f>
        <v>20538</v>
      </c>
      <c r="I68" s="37"/>
      <c r="J68" s="140">
        <v>1</v>
      </c>
      <c r="K68" t="s">
        <v>196</v>
      </c>
      <c r="L68" s="24">
        <v>30</v>
      </c>
      <c r="M68" s="45"/>
      <c r="N68" s="56">
        <f>INDEX(Inventory!E:E,MATCH(K68, Inventory!A:A),1)</f>
        <v>616165</v>
      </c>
      <c r="O68" s="48">
        <f t="shared" ref="O68:O99" si="44">I68/F68*L68</f>
        <v>0</v>
      </c>
      <c r="P68" s="41">
        <f t="shared" ref="P68:P99" si="45">IF(ISBLANK(I68), 0, N68/O68)</f>
        <v>0</v>
      </c>
      <c r="Q68" s="41" cm="1">
        <f t="array" ref="Q68">MAX(IF($A:$A=$A68, $P:$P))</f>
        <v>0</v>
      </c>
      <c r="R68" s="113"/>
      <c r="S68" s="116"/>
      <c r="T68" s="117"/>
      <c r="U68" s="56" t="str">
        <f>IF(S68 &gt; 0,INDEX(Inventory!E:E,MATCH(R68, Inventory!A:A),1), "")</f>
        <v/>
      </c>
      <c r="V68" s="48">
        <f t="shared" ref="V68:V99" si="46">I68/F68*S68</f>
        <v>0</v>
      </c>
      <c r="W68" s="41">
        <f t="shared" ref="W68:W99" si="47">IF(ISBLANK(I68),0,IF(ISBLANK(S68),0,U68/V68))</f>
        <v>0</v>
      </c>
      <c r="Z68" s="38"/>
      <c r="AA68" s="56" t="str">
        <f>IF(Y68&gt;0, INDEX(Inventory!E:E,MATCH(X68, Inventory!A:A),1), "")</f>
        <v/>
      </c>
      <c r="AB68" s="42">
        <f t="shared" ref="AB68:AB99" si="48">I68/F68*Y68</f>
        <v>0</v>
      </c>
      <c r="AC68" s="41">
        <f t="shared" ref="AC68:AC99" si="49">IF(ISBLANK(I68), 0, IF(ISBLANK(Y68), 0, AA68/AB68))</f>
        <v>0</v>
      </c>
      <c r="AD68" s="114">
        <f t="shared" ref="AD68:AD99" si="50">IF(J68=1, M68/L68*F68, 0)</f>
        <v>0</v>
      </c>
      <c r="AE68" s="7">
        <f t="shared" ref="AE68:AE99" si="51">IF(J68=2, MIN(M68/L68, T68/S68)* F68,0)</f>
        <v>0</v>
      </c>
      <c r="AF68" s="7">
        <f t="shared" ref="AF68:AF99" si="52">IF(J68=3, MIN(M68/L68, T68/S68, Z68/Y68) * F68, 0)</f>
        <v>0</v>
      </c>
      <c r="AG68" s="43">
        <f t="shared" ref="AG68:AG99" si="53">IF(J68=1, N68/L68*F68, 0)</f>
        <v>20538.833333333332</v>
      </c>
      <c r="AH68" s="43">
        <f t="shared" ref="AH68:AH99" si="54">IF(J68=2,MIN(N68/L68, U68/S68)* F68,0)</f>
        <v>0</v>
      </c>
      <c r="AI68" s="43">
        <f t="shared" ref="AI68:AI99" si="55">IF(J68=3, MIN(N68/L68, U68/S68, AA68/Y68) * F68, 0)</f>
        <v>0</v>
      </c>
    </row>
    <row r="69" spans="1:35" x14ac:dyDescent="0.25">
      <c r="A69" s="113" t="s">
        <v>863</v>
      </c>
      <c r="B69" s="113" t="s">
        <v>864</v>
      </c>
      <c r="C69" t="s">
        <v>836</v>
      </c>
      <c r="D69" t="s">
        <v>833</v>
      </c>
      <c r="F69" s="34">
        <v>1</v>
      </c>
      <c r="G69" s="54">
        <f t="shared" si="42"/>
        <v>0</v>
      </c>
      <c r="H69" s="36">
        <f t="shared" si="43"/>
        <v>12323</v>
      </c>
      <c r="I69" s="37"/>
      <c r="J69" s="140">
        <v>1</v>
      </c>
      <c r="K69" t="s">
        <v>196</v>
      </c>
      <c r="L69" s="24">
        <v>50</v>
      </c>
      <c r="M69" s="38"/>
      <c r="N69" s="56">
        <f>INDEX(Inventory!E:E,MATCH(K69, Inventory!A:A),1)</f>
        <v>616165</v>
      </c>
      <c r="O69" s="48">
        <f t="shared" si="44"/>
        <v>0</v>
      </c>
      <c r="P69" s="41">
        <f t="shared" si="45"/>
        <v>0</v>
      </c>
      <c r="Q69" s="41" cm="1">
        <f t="array" ref="Q69">MAX(IF($A:$A=$A69, $P:$P))</f>
        <v>0</v>
      </c>
      <c r="R69" s="113"/>
      <c r="S69" s="116"/>
      <c r="T69" s="117"/>
      <c r="U69" s="56" t="str">
        <f>IF(S69 &gt; 0,INDEX(Inventory!E:E,MATCH(R69, Inventory!A:A),1), "")</f>
        <v/>
      </c>
      <c r="V69" s="48">
        <f t="shared" si="46"/>
        <v>0</v>
      </c>
      <c r="W69" s="41">
        <f t="shared" si="47"/>
        <v>0</v>
      </c>
      <c r="Z69" s="38"/>
      <c r="AA69" s="56" t="str">
        <f>IF(Y69&gt;0, INDEX(Inventory!E:E,MATCH(X69, Inventory!A:A),1), "")</f>
        <v/>
      </c>
      <c r="AB69" s="42">
        <f t="shared" si="48"/>
        <v>0</v>
      </c>
      <c r="AC69" s="41">
        <f t="shared" si="49"/>
        <v>0</v>
      </c>
      <c r="AD69" s="114">
        <f t="shared" si="50"/>
        <v>0</v>
      </c>
      <c r="AE69" s="7">
        <f t="shared" si="51"/>
        <v>0</v>
      </c>
      <c r="AF69" s="7">
        <f t="shared" si="52"/>
        <v>0</v>
      </c>
      <c r="AG69" s="43">
        <f t="shared" si="53"/>
        <v>12323.3</v>
      </c>
      <c r="AH69" s="43">
        <f t="shared" si="54"/>
        <v>0</v>
      </c>
      <c r="AI69" s="43">
        <f t="shared" si="55"/>
        <v>0</v>
      </c>
    </row>
    <row r="70" spans="1:35" x14ac:dyDescent="0.25">
      <c r="A70" s="113" t="s">
        <v>740</v>
      </c>
      <c r="C70" t="s">
        <v>845</v>
      </c>
      <c r="D70" t="s">
        <v>838</v>
      </c>
      <c r="F70" s="34">
        <v>1</v>
      </c>
      <c r="G70" s="54">
        <f t="shared" si="42"/>
        <v>1000</v>
      </c>
      <c r="H70" s="36">
        <f t="shared" si="43"/>
        <v>1926</v>
      </c>
      <c r="I70" s="37">
        <v>5000</v>
      </c>
      <c r="J70" s="140">
        <v>2</v>
      </c>
      <c r="K70" t="s">
        <v>735</v>
      </c>
      <c r="L70" s="24">
        <v>1</v>
      </c>
      <c r="M70" s="38">
        <v>1000</v>
      </c>
      <c r="N70" s="56">
        <f>INDEX(Inventory!E:E,MATCH(K70, Inventory!A:A),1)</f>
        <v>5543</v>
      </c>
      <c r="O70" s="48">
        <f t="shared" si="44"/>
        <v>5000</v>
      </c>
      <c r="P70" s="41">
        <f t="shared" si="45"/>
        <v>1.1086</v>
      </c>
      <c r="Q70" s="41" cm="1">
        <f t="array" ref="Q70">MAX(IF($A:$A=$A70, $P:$P))</f>
        <v>39.559199999999997</v>
      </c>
      <c r="R70" s="113" t="s">
        <v>723</v>
      </c>
      <c r="S70" s="116">
        <v>1</v>
      </c>
      <c r="T70" s="117">
        <v>1000</v>
      </c>
      <c r="U70" s="56">
        <f>IF(S70 &gt; 0,INDEX(Inventory!E:E,MATCH(R70, Inventory!A:A),1), "")</f>
        <v>1926</v>
      </c>
      <c r="V70" s="48">
        <f t="shared" si="46"/>
        <v>5000</v>
      </c>
      <c r="W70" s="41">
        <f t="shared" si="47"/>
        <v>0.38519999999999999</v>
      </c>
      <c r="Z70" s="38"/>
      <c r="AA70" s="56" t="str">
        <f>IF(Y70&gt;0, INDEX(Inventory!E:E,MATCH(X70, Inventory!A:A),1), "")</f>
        <v/>
      </c>
      <c r="AB70" s="42">
        <f t="shared" si="48"/>
        <v>0</v>
      </c>
      <c r="AC70" s="41">
        <f t="shared" si="49"/>
        <v>0</v>
      </c>
      <c r="AD70" s="114">
        <f t="shared" si="50"/>
        <v>0</v>
      </c>
      <c r="AE70" s="7">
        <f t="shared" si="51"/>
        <v>1000</v>
      </c>
      <c r="AF70" s="7">
        <f t="shared" si="52"/>
        <v>0</v>
      </c>
      <c r="AG70" s="43">
        <f t="shared" si="53"/>
        <v>0</v>
      </c>
      <c r="AH70" s="43">
        <f t="shared" si="54"/>
        <v>1926</v>
      </c>
      <c r="AI70" s="43">
        <f t="shared" si="55"/>
        <v>0</v>
      </c>
    </row>
    <row r="71" spans="1:35" x14ac:dyDescent="0.25">
      <c r="A71" s="113" t="s">
        <v>740</v>
      </c>
      <c r="C71" t="s">
        <v>845</v>
      </c>
      <c r="D71" t="s">
        <v>838</v>
      </c>
      <c r="F71" s="34">
        <v>3</v>
      </c>
      <c r="G71" s="54">
        <f t="shared" si="42"/>
        <v>0</v>
      </c>
      <c r="H71" s="36">
        <f t="shared" si="43"/>
        <v>2889</v>
      </c>
      <c r="I71" s="37">
        <v>6000</v>
      </c>
      <c r="J71" s="140">
        <v>2</v>
      </c>
      <c r="K71" t="s">
        <v>771</v>
      </c>
      <c r="L71" s="24">
        <v>1</v>
      </c>
      <c r="M71" s="38"/>
      <c r="N71" s="56">
        <f>INDEX(Inventory!E:E,MATCH(K71, Inventory!A:A),1)</f>
        <v>12931</v>
      </c>
      <c r="O71" s="48">
        <f t="shared" si="44"/>
        <v>2000</v>
      </c>
      <c r="P71" s="41">
        <f t="shared" si="45"/>
        <v>6.4654999999999996</v>
      </c>
      <c r="Q71" s="41" cm="1">
        <f t="array" ref="Q71">MAX(IF($A:$A=$A71, $P:$P))</f>
        <v>39.559199999999997</v>
      </c>
      <c r="R71" s="113" t="s">
        <v>723</v>
      </c>
      <c r="S71" s="116">
        <v>2</v>
      </c>
      <c r="T71" s="117"/>
      <c r="U71" s="56">
        <f>IF(S71 &gt; 0,INDEX(Inventory!E:E,MATCH(R71, Inventory!A:A),1), "")</f>
        <v>1926</v>
      </c>
      <c r="V71" s="48">
        <f t="shared" si="46"/>
        <v>4000</v>
      </c>
      <c r="W71" s="41">
        <f t="shared" si="47"/>
        <v>0.48149999999999998</v>
      </c>
      <c r="Z71" s="38"/>
      <c r="AA71" s="56" t="str">
        <f>IF(Y71&gt;0, INDEX(Inventory!E:E,MATCH(X71, Inventory!A:A),1), "")</f>
        <v/>
      </c>
      <c r="AB71" s="42">
        <f t="shared" si="48"/>
        <v>0</v>
      </c>
      <c r="AC71" s="41">
        <f t="shared" si="49"/>
        <v>0</v>
      </c>
      <c r="AD71" s="114">
        <f t="shared" si="50"/>
        <v>0</v>
      </c>
      <c r="AE71" s="7">
        <f t="shared" si="51"/>
        <v>0</v>
      </c>
      <c r="AF71" s="7">
        <f t="shared" si="52"/>
        <v>0</v>
      </c>
      <c r="AG71" s="43">
        <f t="shared" si="53"/>
        <v>0</v>
      </c>
      <c r="AH71" s="43">
        <f t="shared" si="54"/>
        <v>2889</v>
      </c>
      <c r="AI71" s="43">
        <f t="shared" si="55"/>
        <v>0</v>
      </c>
    </row>
    <row r="72" spans="1:35" x14ac:dyDescent="0.25">
      <c r="A72" s="113" t="s">
        <v>740</v>
      </c>
      <c r="C72" t="s">
        <v>845</v>
      </c>
      <c r="D72" t="s">
        <v>838</v>
      </c>
      <c r="F72" s="34">
        <v>4</v>
      </c>
      <c r="G72" s="54">
        <f t="shared" si="42"/>
        <v>0</v>
      </c>
      <c r="H72" s="36">
        <f t="shared" si="43"/>
        <v>17124</v>
      </c>
      <c r="I72" s="37">
        <v>6000</v>
      </c>
      <c r="J72" s="140">
        <v>2</v>
      </c>
      <c r="K72" t="s">
        <v>771</v>
      </c>
      <c r="L72" s="24">
        <v>1</v>
      </c>
      <c r="M72" s="38"/>
      <c r="N72" s="56">
        <f>INDEX(Inventory!E:E,MATCH(K72, Inventory!A:A),1)</f>
        <v>12931</v>
      </c>
      <c r="O72" s="48">
        <f t="shared" si="44"/>
        <v>1500</v>
      </c>
      <c r="P72" s="41">
        <f t="shared" si="45"/>
        <v>8.6206666666666667</v>
      </c>
      <c r="Q72" s="41" cm="1">
        <f t="array" ref="Q72">MAX(IF($A:$A=$A72, $P:$P))</f>
        <v>39.559199999999997</v>
      </c>
      <c r="R72" s="113" t="s">
        <v>728</v>
      </c>
      <c r="S72" s="116">
        <v>1</v>
      </c>
      <c r="T72" s="117"/>
      <c r="U72" s="56">
        <f>IF(S72 &gt; 0,INDEX(Inventory!E:E,MATCH(R72, Inventory!A:A),1), "")</f>
        <v>4281</v>
      </c>
      <c r="V72" s="48">
        <f t="shared" si="46"/>
        <v>1500</v>
      </c>
      <c r="W72" s="41">
        <f t="shared" si="47"/>
        <v>2.8540000000000001</v>
      </c>
      <c r="Z72" s="38"/>
      <c r="AA72" s="56" t="str">
        <f>IF(Y72&gt;0, INDEX(Inventory!E:E,MATCH(X72, Inventory!A:A),1), "")</f>
        <v/>
      </c>
      <c r="AB72" s="42">
        <f t="shared" si="48"/>
        <v>0</v>
      </c>
      <c r="AC72" s="41">
        <f t="shared" si="49"/>
        <v>0</v>
      </c>
      <c r="AD72" s="114">
        <f t="shared" si="50"/>
        <v>0</v>
      </c>
      <c r="AE72" s="7">
        <f t="shared" si="51"/>
        <v>0</v>
      </c>
      <c r="AF72" s="7">
        <f t="shared" si="52"/>
        <v>0</v>
      </c>
      <c r="AG72" s="43">
        <f t="shared" si="53"/>
        <v>0</v>
      </c>
      <c r="AH72" s="43">
        <f t="shared" si="54"/>
        <v>17124</v>
      </c>
      <c r="AI72" s="43">
        <f t="shared" si="55"/>
        <v>0</v>
      </c>
    </row>
    <row r="73" spans="1:35" x14ac:dyDescent="0.25">
      <c r="A73" s="113" t="s">
        <v>740</v>
      </c>
      <c r="C73" t="s">
        <v>845</v>
      </c>
      <c r="D73" t="s">
        <v>838</v>
      </c>
      <c r="F73" s="34">
        <v>3</v>
      </c>
      <c r="G73" s="54">
        <f t="shared" si="42"/>
        <v>570</v>
      </c>
      <c r="H73" s="36">
        <f t="shared" si="43"/>
        <v>29616</v>
      </c>
      <c r="I73" s="37">
        <v>5000</v>
      </c>
      <c r="J73" s="140">
        <v>2</v>
      </c>
      <c r="K73" t="s">
        <v>740</v>
      </c>
      <c r="L73" s="24">
        <v>1</v>
      </c>
      <c r="M73" s="45">
        <v>190</v>
      </c>
      <c r="N73" s="56">
        <f>INDEX(Inventory!E:E,MATCH(K73, Inventory!A:A),1)</f>
        <v>65932</v>
      </c>
      <c r="O73" s="48">
        <f t="shared" si="44"/>
        <v>1666.6666666666667</v>
      </c>
      <c r="P73" s="41">
        <f t="shared" si="45"/>
        <v>39.559199999999997</v>
      </c>
      <c r="Q73" s="41" cm="1">
        <f t="array" ref="Q73">MAX(IF($A:$A=$A73, $P:$P))</f>
        <v>39.559199999999997</v>
      </c>
      <c r="R73" s="113" t="s">
        <v>209</v>
      </c>
      <c r="S73" s="116">
        <v>1</v>
      </c>
      <c r="T73" s="117">
        <v>2000</v>
      </c>
      <c r="U73" s="56">
        <f>IF(S73 &gt; 0,INDEX(Inventory!E:E,MATCH(R73, Inventory!A:A),1), "")</f>
        <v>9872</v>
      </c>
      <c r="V73" s="48">
        <f t="shared" si="46"/>
        <v>1666.6666666666667</v>
      </c>
      <c r="W73" s="41">
        <f t="shared" si="47"/>
        <v>5.9231999999999996</v>
      </c>
      <c r="Z73" s="38"/>
      <c r="AA73" s="56" t="str">
        <f>IF(Y73&gt;0, INDEX(Inventory!E:E,MATCH(X73, Inventory!A:A),1), "")</f>
        <v/>
      </c>
      <c r="AB73" s="42">
        <f t="shared" si="48"/>
        <v>0</v>
      </c>
      <c r="AC73" s="41">
        <f t="shared" si="49"/>
        <v>0</v>
      </c>
      <c r="AD73" s="114">
        <f t="shared" si="50"/>
        <v>0</v>
      </c>
      <c r="AE73" s="7">
        <f t="shared" si="51"/>
        <v>570</v>
      </c>
      <c r="AF73" s="7">
        <f t="shared" si="52"/>
        <v>0</v>
      </c>
      <c r="AG73" s="43">
        <f t="shared" si="53"/>
        <v>0</v>
      </c>
      <c r="AH73" s="43">
        <f t="shared" si="54"/>
        <v>29616</v>
      </c>
      <c r="AI73" s="43">
        <f t="shared" si="55"/>
        <v>0</v>
      </c>
    </row>
    <row r="74" spans="1:35" x14ac:dyDescent="0.25">
      <c r="A74" s="113" t="s">
        <v>740</v>
      </c>
      <c r="C74" t="s">
        <v>845</v>
      </c>
      <c r="D74" t="s">
        <v>838</v>
      </c>
      <c r="F74" s="34">
        <v>1</v>
      </c>
      <c r="G74" s="54">
        <f t="shared" si="42"/>
        <v>0</v>
      </c>
      <c r="H74" s="36">
        <f t="shared" si="43"/>
        <v>974</v>
      </c>
      <c r="I74" s="37">
        <v>6000</v>
      </c>
      <c r="J74" s="140">
        <v>2</v>
      </c>
      <c r="K74" t="s">
        <v>323</v>
      </c>
      <c r="L74" s="24">
        <v>1</v>
      </c>
      <c r="M74" s="38"/>
      <c r="N74" s="56">
        <f>INDEX(Inventory!E:E,MATCH(K74, Inventory!A:A),1)</f>
        <v>1819</v>
      </c>
      <c r="O74" s="40">
        <f t="shared" si="44"/>
        <v>6000</v>
      </c>
      <c r="P74" s="41">
        <f t="shared" si="45"/>
        <v>0.30316666666666664</v>
      </c>
      <c r="Q74" s="41" cm="1">
        <f t="array" ref="Q74">MAX(IF($A:$A=$A74, $P:$P))</f>
        <v>39.559199999999997</v>
      </c>
      <c r="R74" s="113" t="s">
        <v>789</v>
      </c>
      <c r="S74" s="116">
        <v>1</v>
      </c>
      <c r="T74" s="117"/>
      <c r="U74" s="56">
        <f>IF(S74 &gt; 0,INDEX(Inventory!E:E,MATCH(R74, Inventory!A:A),1), "")</f>
        <v>974</v>
      </c>
      <c r="V74" s="40">
        <f t="shared" si="46"/>
        <v>6000</v>
      </c>
      <c r="W74" s="41">
        <f t="shared" si="47"/>
        <v>0.16233333333333333</v>
      </c>
      <c r="Z74" s="38"/>
      <c r="AA74" s="56" t="str">
        <f>IF(Y74&gt;0, INDEX(Inventory!E:E,MATCH(X74, Inventory!A:A),1), "")</f>
        <v/>
      </c>
      <c r="AB74" s="42">
        <f t="shared" si="48"/>
        <v>0</v>
      </c>
      <c r="AC74" s="41">
        <f t="shared" si="49"/>
        <v>0</v>
      </c>
      <c r="AD74" s="114">
        <f t="shared" si="50"/>
        <v>0</v>
      </c>
      <c r="AE74" s="7">
        <f t="shared" si="51"/>
        <v>0</v>
      </c>
      <c r="AF74" s="7">
        <f t="shared" si="52"/>
        <v>0</v>
      </c>
      <c r="AG74" s="43">
        <f t="shared" si="53"/>
        <v>0</v>
      </c>
      <c r="AH74" s="43">
        <f t="shared" si="54"/>
        <v>974</v>
      </c>
      <c r="AI74" s="43">
        <f t="shared" si="55"/>
        <v>0</v>
      </c>
    </row>
    <row r="75" spans="1:35" x14ac:dyDescent="0.25">
      <c r="A75" s="113" t="s">
        <v>740</v>
      </c>
      <c r="C75" t="s">
        <v>845</v>
      </c>
      <c r="D75" t="s">
        <v>838</v>
      </c>
      <c r="F75" s="34">
        <v>1</v>
      </c>
      <c r="G75" s="54">
        <f t="shared" si="42"/>
        <v>0</v>
      </c>
      <c r="H75" s="36">
        <f t="shared" si="43"/>
        <v>4310</v>
      </c>
      <c r="I75" s="37">
        <v>6000</v>
      </c>
      <c r="J75" s="140">
        <v>1</v>
      </c>
      <c r="K75" t="s">
        <v>771</v>
      </c>
      <c r="L75" s="24">
        <v>3</v>
      </c>
      <c r="M75" s="38"/>
      <c r="N75" s="56">
        <f>INDEX(Inventory!E:E,MATCH(K75, Inventory!A:A),1)</f>
        <v>12931</v>
      </c>
      <c r="O75" s="40">
        <f t="shared" si="44"/>
        <v>18000</v>
      </c>
      <c r="P75" s="41">
        <f t="shared" si="45"/>
        <v>0.71838888888888885</v>
      </c>
      <c r="Q75" s="41" cm="1">
        <f t="array" ref="Q75">MAX(IF($A:$A=$A75, $P:$P))</f>
        <v>39.559199999999997</v>
      </c>
      <c r="R75" s="113"/>
      <c r="S75" s="116"/>
      <c r="T75" s="117"/>
      <c r="U75" s="56" t="str">
        <f>IF(S75 &gt; 0,INDEX(Inventory!E:E,MATCH(R75, Inventory!A:A),1), "")</f>
        <v/>
      </c>
      <c r="V75" s="40">
        <f t="shared" si="46"/>
        <v>0</v>
      </c>
      <c r="W75" s="41">
        <f t="shared" si="47"/>
        <v>0</v>
      </c>
      <c r="Z75" s="38"/>
      <c r="AA75" s="56" t="str">
        <f>IF(Y75&gt;0, INDEX(Inventory!E:E,MATCH(X75, Inventory!A:A),1), "")</f>
        <v/>
      </c>
      <c r="AB75" s="42">
        <f t="shared" si="48"/>
        <v>0</v>
      </c>
      <c r="AC75" s="41">
        <f t="shared" si="49"/>
        <v>0</v>
      </c>
      <c r="AD75" s="114">
        <f t="shared" si="50"/>
        <v>0</v>
      </c>
      <c r="AE75" s="7">
        <f t="shared" si="51"/>
        <v>0</v>
      </c>
      <c r="AF75" s="7">
        <f t="shared" si="52"/>
        <v>0</v>
      </c>
      <c r="AG75" s="43">
        <f t="shared" si="53"/>
        <v>4310.333333333333</v>
      </c>
      <c r="AH75" s="43">
        <f t="shared" si="54"/>
        <v>0</v>
      </c>
      <c r="AI75" s="43">
        <f t="shared" si="55"/>
        <v>0</v>
      </c>
    </row>
    <row r="76" spans="1:35" x14ac:dyDescent="0.25">
      <c r="A76" s="113" t="s">
        <v>865</v>
      </c>
      <c r="B76" s="113" t="s">
        <v>866</v>
      </c>
      <c r="C76" t="s">
        <v>836</v>
      </c>
      <c r="D76" t="s">
        <v>833</v>
      </c>
      <c r="F76" s="34">
        <v>1</v>
      </c>
      <c r="G76" s="54">
        <f t="shared" si="42"/>
        <v>0</v>
      </c>
      <c r="H76" s="36">
        <f t="shared" si="43"/>
        <v>107</v>
      </c>
      <c r="I76" s="37"/>
      <c r="J76" s="140">
        <v>3</v>
      </c>
      <c r="K76" t="s">
        <v>196</v>
      </c>
      <c r="L76" s="24">
        <v>120</v>
      </c>
      <c r="M76" s="45"/>
      <c r="N76" s="56">
        <f>INDEX(Inventory!E:E,MATCH(K76, Inventory!A:A),1)</f>
        <v>616165</v>
      </c>
      <c r="O76" s="40">
        <f t="shared" si="44"/>
        <v>0</v>
      </c>
      <c r="P76" s="41">
        <f t="shared" si="45"/>
        <v>0</v>
      </c>
      <c r="Q76" s="41" cm="1">
        <f t="array" ref="Q76">MAX(IF($A:$A=$A76, $P:$P))</f>
        <v>0</v>
      </c>
      <c r="R76" s="113" t="s">
        <v>752</v>
      </c>
      <c r="S76" s="116">
        <v>40</v>
      </c>
      <c r="T76" s="117"/>
      <c r="U76" s="56">
        <f>IF(S76 &gt; 0,INDEX(Inventory!E:E,MATCH(R76, Inventory!A:A),1), "")</f>
        <v>4286</v>
      </c>
      <c r="V76" s="40">
        <f t="shared" si="46"/>
        <v>0</v>
      </c>
      <c r="W76" s="41">
        <f t="shared" si="47"/>
        <v>0</v>
      </c>
      <c r="X76" t="s">
        <v>792</v>
      </c>
      <c r="Y76" s="24">
        <v>10</v>
      </c>
      <c r="Z76" s="38"/>
      <c r="AA76" s="56">
        <f>IF(Y76&gt;0, INDEX(Inventory!E:E,MATCH(X76, Inventory!A:A),1), "")</f>
        <v>16709</v>
      </c>
      <c r="AB76" s="42">
        <f t="shared" si="48"/>
        <v>0</v>
      </c>
      <c r="AC76" s="41">
        <f t="shared" si="49"/>
        <v>0</v>
      </c>
      <c r="AD76" s="114">
        <f t="shared" si="50"/>
        <v>0</v>
      </c>
      <c r="AE76" s="7">
        <f t="shared" si="51"/>
        <v>0</v>
      </c>
      <c r="AF76" s="7">
        <f t="shared" si="52"/>
        <v>0</v>
      </c>
      <c r="AG76" s="43">
        <f t="shared" si="53"/>
        <v>0</v>
      </c>
      <c r="AH76" s="43">
        <f t="shared" si="54"/>
        <v>0</v>
      </c>
      <c r="AI76" s="43">
        <f t="shared" si="55"/>
        <v>107.15</v>
      </c>
    </row>
    <row r="77" spans="1:35" x14ac:dyDescent="0.25">
      <c r="A77" s="113" t="s">
        <v>867</v>
      </c>
      <c r="B77" s="113" t="s">
        <v>868</v>
      </c>
      <c r="C77" t="s">
        <v>836</v>
      </c>
      <c r="D77" t="s">
        <v>833</v>
      </c>
      <c r="F77" s="34">
        <v>1</v>
      </c>
      <c r="G77" s="54">
        <f t="shared" si="42"/>
        <v>2</v>
      </c>
      <c r="H77" s="36">
        <f t="shared" si="43"/>
        <v>3341</v>
      </c>
      <c r="I77" s="37"/>
      <c r="J77" s="140">
        <v>2</v>
      </c>
      <c r="K77" t="s">
        <v>196</v>
      </c>
      <c r="L77" s="24">
        <v>30</v>
      </c>
      <c r="M77" s="38">
        <v>60</v>
      </c>
      <c r="N77" s="56">
        <f>INDEX(Inventory!E:E,MATCH(K77, Inventory!A:A),1)</f>
        <v>616165</v>
      </c>
      <c r="O77" s="40">
        <f t="shared" si="44"/>
        <v>0</v>
      </c>
      <c r="P77" s="41">
        <f t="shared" si="45"/>
        <v>0</v>
      </c>
      <c r="Q77" s="41" cm="1">
        <f t="array" ref="Q77">MAX(IF($A:$A=$A77, $P:$P))</f>
        <v>0</v>
      </c>
      <c r="R77" s="113" t="s">
        <v>792</v>
      </c>
      <c r="S77" s="116">
        <v>5</v>
      </c>
      <c r="T77" s="117">
        <v>10</v>
      </c>
      <c r="U77" s="56">
        <f>IF(S77 &gt; 0,INDEX(Inventory!E:E,MATCH(R77, Inventory!A:A),1), "")</f>
        <v>16709</v>
      </c>
      <c r="V77" s="40">
        <f t="shared" si="46"/>
        <v>0</v>
      </c>
      <c r="W77" s="41">
        <f t="shared" si="47"/>
        <v>0</v>
      </c>
      <c r="Z77" s="38"/>
      <c r="AA77" s="56" t="str">
        <f>IF(Y77&gt;0, INDEX(Inventory!E:E,MATCH(X77, Inventory!A:A),1), "")</f>
        <v/>
      </c>
      <c r="AB77" s="42">
        <f t="shared" si="48"/>
        <v>0</v>
      </c>
      <c r="AC77" s="41">
        <f t="shared" si="49"/>
        <v>0</v>
      </c>
      <c r="AD77" s="114">
        <f t="shared" si="50"/>
        <v>0</v>
      </c>
      <c r="AE77" s="7">
        <f t="shared" si="51"/>
        <v>2</v>
      </c>
      <c r="AF77" s="7">
        <f t="shared" si="52"/>
        <v>0</v>
      </c>
      <c r="AG77" s="43">
        <f t="shared" si="53"/>
        <v>0</v>
      </c>
      <c r="AH77" s="43">
        <f t="shared" si="54"/>
        <v>3341.8</v>
      </c>
      <c r="AI77" s="43">
        <f t="shared" si="55"/>
        <v>0</v>
      </c>
    </row>
    <row r="78" spans="1:35" x14ac:dyDescent="0.25">
      <c r="A78" s="113" t="s">
        <v>869</v>
      </c>
      <c r="B78" s="113" t="s">
        <v>870</v>
      </c>
      <c r="C78" t="s">
        <v>836</v>
      </c>
      <c r="D78" t="s">
        <v>833</v>
      </c>
      <c r="F78" s="34">
        <v>1</v>
      </c>
      <c r="G78" s="54">
        <f t="shared" si="42"/>
        <v>0</v>
      </c>
      <c r="H78" s="36">
        <f t="shared" si="43"/>
        <v>3341</v>
      </c>
      <c r="I78" s="37"/>
      <c r="J78" s="140">
        <v>2</v>
      </c>
      <c r="K78" t="s">
        <v>196</v>
      </c>
      <c r="L78" s="24">
        <v>30</v>
      </c>
      <c r="M78" s="38"/>
      <c r="N78" s="56">
        <f>INDEX(Inventory!E:E,MATCH(K78, Inventory!A:A),1)</f>
        <v>616165</v>
      </c>
      <c r="O78" s="40">
        <f t="shared" si="44"/>
        <v>0</v>
      </c>
      <c r="P78" s="41">
        <f t="shared" si="45"/>
        <v>0</v>
      </c>
      <c r="Q78" s="41" cm="1">
        <f t="array" ref="Q78">MAX(IF($A:$A=$A78, $P:$P))</f>
        <v>0</v>
      </c>
      <c r="R78" s="113" t="s">
        <v>792</v>
      </c>
      <c r="S78" s="116">
        <v>5</v>
      </c>
      <c r="T78" s="117"/>
      <c r="U78" s="56">
        <f>IF(S78 &gt; 0,INDEX(Inventory!E:E,MATCH(R78, Inventory!A:A),1), "")</f>
        <v>16709</v>
      </c>
      <c r="V78" s="40">
        <f t="shared" si="46"/>
        <v>0</v>
      </c>
      <c r="W78" s="41">
        <f t="shared" si="47"/>
        <v>0</v>
      </c>
      <c r="Z78" s="38"/>
      <c r="AA78" s="56" t="str">
        <f>IF(Y78&gt;0, INDEX(Inventory!E:E,MATCH(X78, Inventory!A:A),1), "")</f>
        <v/>
      </c>
      <c r="AB78" s="42">
        <f t="shared" si="48"/>
        <v>0</v>
      </c>
      <c r="AC78" s="41">
        <f t="shared" si="49"/>
        <v>0</v>
      </c>
      <c r="AD78" s="114">
        <f t="shared" si="50"/>
        <v>0</v>
      </c>
      <c r="AE78" s="7">
        <f t="shared" si="51"/>
        <v>0</v>
      </c>
      <c r="AF78" s="7">
        <f t="shared" si="52"/>
        <v>0</v>
      </c>
      <c r="AG78" s="43">
        <f t="shared" si="53"/>
        <v>0</v>
      </c>
      <c r="AH78" s="43">
        <f t="shared" si="54"/>
        <v>3341.8</v>
      </c>
      <c r="AI78" s="43">
        <f t="shared" si="55"/>
        <v>0</v>
      </c>
    </row>
    <row r="79" spans="1:35" x14ac:dyDescent="0.25">
      <c r="A79" s="113" t="s">
        <v>871</v>
      </c>
      <c r="B79" s="113" t="s">
        <v>872</v>
      </c>
      <c r="C79" t="s">
        <v>836</v>
      </c>
      <c r="D79" t="s">
        <v>833</v>
      </c>
      <c r="F79" s="34">
        <v>1</v>
      </c>
      <c r="G79" s="54">
        <f t="shared" si="42"/>
        <v>0</v>
      </c>
      <c r="H79" s="36">
        <f t="shared" si="43"/>
        <v>974</v>
      </c>
      <c r="I79" s="37">
        <v>900</v>
      </c>
      <c r="J79" s="140">
        <v>2</v>
      </c>
      <c r="K79" t="s">
        <v>196</v>
      </c>
      <c r="L79" s="24">
        <v>30</v>
      </c>
      <c r="M79" s="38"/>
      <c r="N79" s="56">
        <f>INDEX(Inventory!E:E,MATCH(K79, Inventory!A:A),1)</f>
        <v>616165</v>
      </c>
      <c r="O79" s="40">
        <f t="shared" si="44"/>
        <v>27000</v>
      </c>
      <c r="P79" s="41">
        <f t="shared" si="45"/>
        <v>22.820925925925927</v>
      </c>
      <c r="Q79" s="41" cm="1">
        <f t="array" ref="Q79">MAX(IF($A:$A=$A79, $P:$P))</f>
        <v>22.820925925925927</v>
      </c>
      <c r="R79" s="113" t="s">
        <v>751</v>
      </c>
      <c r="S79" s="116">
        <v>1</v>
      </c>
      <c r="T79" s="117"/>
      <c r="U79" s="56">
        <f>IF(S79 &gt; 0,INDEX(Inventory!E:E,MATCH(R79, Inventory!A:A),1), "")</f>
        <v>974</v>
      </c>
      <c r="V79" s="40">
        <f t="shared" si="46"/>
        <v>900</v>
      </c>
      <c r="W79" s="41">
        <f t="shared" si="47"/>
        <v>1.0822222222222222</v>
      </c>
      <c r="Z79" s="38"/>
      <c r="AA79" s="56" t="str">
        <f>IF(Y79&gt;0, INDEX(Inventory!E:E,MATCH(X79, Inventory!A:A),1), "")</f>
        <v/>
      </c>
      <c r="AB79" s="42">
        <f t="shared" si="48"/>
        <v>0</v>
      </c>
      <c r="AC79" s="41">
        <f t="shared" si="49"/>
        <v>0</v>
      </c>
      <c r="AD79" s="114">
        <f t="shared" si="50"/>
        <v>0</v>
      </c>
      <c r="AE79" s="7">
        <f t="shared" si="51"/>
        <v>0</v>
      </c>
      <c r="AF79" s="7">
        <f t="shared" si="52"/>
        <v>0</v>
      </c>
      <c r="AG79" s="43">
        <f t="shared" si="53"/>
        <v>0</v>
      </c>
      <c r="AH79" s="43">
        <f t="shared" si="54"/>
        <v>974</v>
      </c>
      <c r="AI79" s="43">
        <f t="shared" si="55"/>
        <v>0</v>
      </c>
    </row>
    <row r="80" spans="1:35" x14ac:dyDescent="0.25">
      <c r="A80" s="113" t="s">
        <v>873</v>
      </c>
      <c r="B80" s="113" t="s">
        <v>874</v>
      </c>
      <c r="C80" t="s">
        <v>836</v>
      </c>
      <c r="D80" t="s">
        <v>833</v>
      </c>
      <c r="F80" s="34">
        <v>1</v>
      </c>
      <c r="G80" s="54">
        <f t="shared" si="42"/>
        <v>0</v>
      </c>
      <c r="H80" s="36">
        <f t="shared" si="43"/>
        <v>974</v>
      </c>
      <c r="I80" s="37"/>
      <c r="J80" s="140">
        <v>2</v>
      </c>
      <c r="K80" t="s">
        <v>196</v>
      </c>
      <c r="L80" s="24">
        <v>30</v>
      </c>
      <c r="M80" s="45"/>
      <c r="N80" s="56">
        <f>INDEX(Inventory!E:E,MATCH(K80, Inventory!A:A),1)</f>
        <v>616165</v>
      </c>
      <c r="O80" s="40">
        <f t="shared" si="44"/>
        <v>0</v>
      </c>
      <c r="P80" s="41">
        <f t="shared" si="45"/>
        <v>0</v>
      </c>
      <c r="Q80" s="41" cm="1">
        <f t="array" ref="Q80">MAX(IF($A:$A=$A80, $P:$P))</f>
        <v>0</v>
      </c>
      <c r="R80" s="113" t="s">
        <v>751</v>
      </c>
      <c r="S80" s="116">
        <v>1</v>
      </c>
      <c r="T80" s="117"/>
      <c r="U80" s="56">
        <f>IF(S80 &gt; 0,INDEX(Inventory!E:E,MATCH(R80, Inventory!A:A),1), "")</f>
        <v>974</v>
      </c>
      <c r="V80" s="40">
        <f t="shared" si="46"/>
        <v>0</v>
      </c>
      <c r="W80" s="41">
        <f t="shared" si="47"/>
        <v>0</v>
      </c>
      <c r="Z80" s="38"/>
      <c r="AA80" s="56" t="str">
        <f>IF(Y80&gt;0, INDEX(Inventory!E:E,MATCH(X80, Inventory!A:A),1), "")</f>
        <v/>
      </c>
      <c r="AB80" s="42">
        <f t="shared" si="48"/>
        <v>0</v>
      </c>
      <c r="AC80" s="41">
        <f t="shared" si="49"/>
        <v>0</v>
      </c>
      <c r="AD80" s="114">
        <f t="shared" si="50"/>
        <v>0</v>
      </c>
      <c r="AE80" s="7">
        <f t="shared" si="51"/>
        <v>0</v>
      </c>
      <c r="AF80" s="7">
        <f t="shared" si="52"/>
        <v>0</v>
      </c>
      <c r="AG80" s="43">
        <f t="shared" si="53"/>
        <v>0</v>
      </c>
      <c r="AH80" s="43">
        <f t="shared" si="54"/>
        <v>974</v>
      </c>
      <c r="AI80" s="43">
        <f t="shared" si="55"/>
        <v>0</v>
      </c>
    </row>
    <row r="81" spans="1:35" x14ac:dyDescent="0.25">
      <c r="A81" s="113" t="s">
        <v>875</v>
      </c>
      <c r="B81" s="113" t="s">
        <v>876</v>
      </c>
      <c r="C81" t="s">
        <v>836</v>
      </c>
      <c r="D81" t="s">
        <v>833</v>
      </c>
      <c r="F81" s="46">
        <v>1</v>
      </c>
      <c r="G81" s="57">
        <f t="shared" si="42"/>
        <v>0</v>
      </c>
      <c r="H81" s="36">
        <f t="shared" si="43"/>
        <v>3341</v>
      </c>
      <c r="I81" s="37">
        <v>60</v>
      </c>
      <c r="J81" s="140">
        <v>2</v>
      </c>
      <c r="K81" t="s">
        <v>196</v>
      </c>
      <c r="L81" s="24">
        <v>30</v>
      </c>
      <c r="M81" s="38"/>
      <c r="N81" s="56">
        <f>INDEX(Inventory!E:E,MATCH(K81, Inventory!A:A),1)</f>
        <v>616165</v>
      </c>
      <c r="O81" s="40">
        <f t="shared" si="44"/>
        <v>1800</v>
      </c>
      <c r="P81" s="41">
        <f t="shared" si="45"/>
        <v>342.31388888888887</v>
      </c>
      <c r="Q81" s="41" cm="1">
        <f t="array" ref="Q81">MAX(IF($A:$A=$A81, $P:$P))</f>
        <v>342.31388888888887</v>
      </c>
      <c r="R81" s="113" t="s">
        <v>792</v>
      </c>
      <c r="S81" s="116">
        <v>5</v>
      </c>
      <c r="T81" s="117"/>
      <c r="U81" s="56">
        <f>IF(S81 &gt; 0,INDEX(Inventory!E:E,MATCH(R81, Inventory!A:A),1), "")</f>
        <v>16709</v>
      </c>
      <c r="V81" s="40">
        <f t="shared" si="46"/>
        <v>300</v>
      </c>
      <c r="W81" s="41">
        <f t="shared" si="47"/>
        <v>55.696666666666665</v>
      </c>
      <c r="Z81" s="38"/>
      <c r="AA81" s="56" t="str">
        <f>IF(Y81&gt;0, INDEX(Inventory!E:E,MATCH(X81, Inventory!A:A),1), "")</f>
        <v/>
      </c>
      <c r="AB81" s="42">
        <f t="shared" si="48"/>
        <v>0</v>
      </c>
      <c r="AC81" s="41">
        <f t="shared" si="49"/>
        <v>0</v>
      </c>
      <c r="AD81" s="114">
        <f t="shared" si="50"/>
        <v>0</v>
      </c>
      <c r="AE81" s="7">
        <f t="shared" si="51"/>
        <v>0</v>
      </c>
      <c r="AF81" s="7">
        <f t="shared" si="52"/>
        <v>0</v>
      </c>
      <c r="AG81" s="43">
        <f t="shared" si="53"/>
        <v>0</v>
      </c>
      <c r="AH81" s="43">
        <f t="shared" si="54"/>
        <v>3341.8</v>
      </c>
      <c r="AI81" s="43">
        <f t="shared" si="55"/>
        <v>0</v>
      </c>
    </row>
    <row r="82" spans="1:35" x14ac:dyDescent="0.25">
      <c r="A82" s="113" t="s">
        <v>744</v>
      </c>
      <c r="C82" t="s">
        <v>836</v>
      </c>
      <c r="D82" t="s">
        <v>833</v>
      </c>
      <c r="F82" s="46">
        <v>1</v>
      </c>
      <c r="G82" s="57">
        <f t="shared" si="42"/>
        <v>0</v>
      </c>
      <c r="H82" s="36">
        <f t="shared" si="43"/>
        <v>55</v>
      </c>
      <c r="I82" s="51"/>
      <c r="J82" s="140">
        <v>2</v>
      </c>
      <c r="K82" t="s">
        <v>735</v>
      </c>
      <c r="L82" s="24">
        <v>100</v>
      </c>
      <c r="M82" s="38"/>
      <c r="N82" s="56">
        <f>INDEX(Inventory!E:E,MATCH(K82, Inventory!A:A),1)</f>
        <v>5543</v>
      </c>
      <c r="O82" s="40">
        <f t="shared" si="44"/>
        <v>0</v>
      </c>
      <c r="P82" s="41">
        <f t="shared" si="45"/>
        <v>0</v>
      </c>
      <c r="Q82" s="41" cm="1">
        <f t="array" ref="Q82">MAX(IF($A:$A=$A82, $P:$P))</f>
        <v>0</v>
      </c>
      <c r="R82" s="113" t="s">
        <v>792</v>
      </c>
      <c r="S82" s="116">
        <v>100</v>
      </c>
      <c r="T82" s="117"/>
      <c r="U82" s="56">
        <f>IF(S82 &gt; 0,INDEX(Inventory!E:E,MATCH(R82, Inventory!A:A),1), "")</f>
        <v>16709</v>
      </c>
      <c r="V82" s="40">
        <f t="shared" si="46"/>
        <v>0</v>
      </c>
      <c r="W82" s="41">
        <f t="shared" si="47"/>
        <v>0</v>
      </c>
      <c r="Z82" s="38"/>
      <c r="AA82" s="56" t="str">
        <f>IF(Y82&gt;0, INDEX(Inventory!E:E,MATCH(X82, Inventory!A:A),1), "")</f>
        <v/>
      </c>
      <c r="AB82" s="42">
        <f t="shared" si="48"/>
        <v>0</v>
      </c>
      <c r="AC82" s="41">
        <f t="shared" si="49"/>
        <v>0</v>
      </c>
      <c r="AD82" s="114">
        <f t="shared" si="50"/>
        <v>0</v>
      </c>
      <c r="AE82" s="7">
        <f t="shared" si="51"/>
        <v>0</v>
      </c>
      <c r="AF82" s="7">
        <f t="shared" si="52"/>
        <v>0</v>
      </c>
      <c r="AG82" s="43">
        <f t="shared" si="53"/>
        <v>0</v>
      </c>
      <c r="AH82" s="43">
        <f t="shared" si="54"/>
        <v>55.43</v>
      </c>
      <c r="AI82" s="43">
        <f t="shared" si="55"/>
        <v>0</v>
      </c>
    </row>
    <row r="83" spans="1:35" x14ac:dyDescent="0.25">
      <c r="A83" s="113" t="s">
        <v>745</v>
      </c>
      <c r="C83" t="s">
        <v>836</v>
      </c>
      <c r="D83" t="s">
        <v>833</v>
      </c>
      <c r="F83" s="46">
        <v>1</v>
      </c>
      <c r="G83" s="57">
        <f t="shared" si="42"/>
        <v>0</v>
      </c>
      <c r="H83" s="36">
        <f t="shared" si="43"/>
        <v>27</v>
      </c>
      <c r="I83" s="51"/>
      <c r="J83" s="140">
        <v>2</v>
      </c>
      <c r="K83" t="s">
        <v>735</v>
      </c>
      <c r="L83" s="24">
        <v>200</v>
      </c>
      <c r="M83" s="38"/>
      <c r="N83" s="56">
        <f>INDEX(Inventory!E:E,MATCH(K83, Inventory!A:A),1)</f>
        <v>5543</v>
      </c>
      <c r="O83" s="40">
        <f t="shared" si="44"/>
        <v>0</v>
      </c>
      <c r="P83" s="41">
        <f t="shared" si="45"/>
        <v>0</v>
      </c>
      <c r="Q83" s="41" cm="1">
        <f t="array" ref="Q83">MAX(IF($A:$A=$A83, $P:$P))</f>
        <v>0</v>
      </c>
      <c r="R83" s="113" t="s">
        <v>792</v>
      </c>
      <c r="S83" s="116">
        <v>200</v>
      </c>
      <c r="T83" s="117"/>
      <c r="U83" s="56">
        <f>IF(S83 &gt; 0,INDEX(Inventory!E:E,MATCH(R83, Inventory!A:A),1), "")</f>
        <v>16709</v>
      </c>
      <c r="V83" s="40">
        <f t="shared" si="46"/>
        <v>0</v>
      </c>
      <c r="W83" s="41">
        <f t="shared" si="47"/>
        <v>0</v>
      </c>
      <c r="Z83" s="38"/>
      <c r="AA83" s="56" t="str">
        <f>IF(Y83&gt;0, INDEX(Inventory!E:E,MATCH(X83, Inventory!A:A),1), "")</f>
        <v/>
      </c>
      <c r="AB83" s="42">
        <f t="shared" si="48"/>
        <v>0</v>
      </c>
      <c r="AC83" s="41">
        <f t="shared" si="49"/>
        <v>0</v>
      </c>
      <c r="AD83" s="114">
        <f t="shared" si="50"/>
        <v>0</v>
      </c>
      <c r="AE83" s="7">
        <f t="shared" si="51"/>
        <v>0</v>
      </c>
      <c r="AF83" s="7">
        <f t="shared" si="52"/>
        <v>0</v>
      </c>
      <c r="AG83" s="43">
        <f t="shared" si="53"/>
        <v>0</v>
      </c>
      <c r="AH83" s="43">
        <f t="shared" si="54"/>
        <v>27.715</v>
      </c>
      <c r="AI83" s="43">
        <f t="shared" si="55"/>
        <v>0</v>
      </c>
    </row>
    <row r="84" spans="1:35" x14ac:dyDescent="0.25">
      <c r="A84" s="113" t="s">
        <v>746</v>
      </c>
      <c r="C84" t="s">
        <v>836</v>
      </c>
      <c r="D84" t="s">
        <v>833</v>
      </c>
      <c r="F84" s="46">
        <v>1</v>
      </c>
      <c r="G84" s="57">
        <f t="shared" si="42"/>
        <v>0</v>
      </c>
      <c r="H84" s="36">
        <f t="shared" si="43"/>
        <v>110</v>
      </c>
      <c r="I84" s="51"/>
      <c r="J84" s="140">
        <v>2</v>
      </c>
      <c r="K84" t="s">
        <v>735</v>
      </c>
      <c r="L84" s="24">
        <v>50</v>
      </c>
      <c r="M84" s="38"/>
      <c r="N84" s="56">
        <f>INDEX(Inventory!E:E,MATCH(K84, Inventory!A:A),1)</f>
        <v>5543</v>
      </c>
      <c r="O84" s="40">
        <f t="shared" si="44"/>
        <v>0</v>
      </c>
      <c r="P84" s="41">
        <f t="shared" si="45"/>
        <v>0</v>
      </c>
      <c r="Q84" s="41" cm="1">
        <f t="array" ref="Q84">MAX(IF($A:$A=$A84, $P:$P))</f>
        <v>0</v>
      </c>
      <c r="R84" s="113" t="s">
        <v>792</v>
      </c>
      <c r="S84" s="116">
        <v>50</v>
      </c>
      <c r="T84" s="117"/>
      <c r="U84" s="56">
        <f>IF(S84 &gt; 0,INDEX(Inventory!E:E,MATCH(R84, Inventory!A:A),1), "")</f>
        <v>16709</v>
      </c>
      <c r="V84" s="40">
        <f t="shared" si="46"/>
        <v>0</v>
      </c>
      <c r="W84" s="41">
        <f t="shared" si="47"/>
        <v>0</v>
      </c>
      <c r="Z84" s="38"/>
      <c r="AA84" s="56" t="str">
        <f>IF(Y84&gt;0, INDEX(Inventory!E:E,MATCH(X84, Inventory!A:A),1), "")</f>
        <v/>
      </c>
      <c r="AB84" s="42">
        <f t="shared" si="48"/>
        <v>0</v>
      </c>
      <c r="AC84" s="41">
        <f t="shared" si="49"/>
        <v>0</v>
      </c>
      <c r="AD84" s="114">
        <f t="shared" si="50"/>
        <v>0</v>
      </c>
      <c r="AE84" s="7">
        <f t="shared" si="51"/>
        <v>0</v>
      </c>
      <c r="AF84" s="7">
        <f t="shared" si="52"/>
        <v>0</v>
      </c>
      <c r="AG84" s="43">
        <f t="shared" si="53"/>
        <v>0</v>
      </c>
      <c r="AH84" s="43">
        <f t="shared" si="54"/>
        <v>110.86</v>
      </c>
      <c r="AI84" s="43">
        <f t="shared" si="55"/>
        <v>0</v>
      </c>
    </row>
    <row r="85" spans="1:35" x14ac:dyDescent="0.25">
      <c r="A85" s="113" t="s">
        <v>190</v>
      </c>
      <c r="C85" t="s">
        <v>845</v>
      </c>
      <c r="D85" t="s">
        <v>838</v>
      </c>
      <c r="F85" s="46">
        <v>1</v>
      </c>
      <c r="G85" s="57">
        <f t="shared" si="42"/>
        <v>0</v>
      </c>
      <c r="H85" s="36">
        <f t="shared" si="43"/>
        <v>1819</v>
      </c>
      <c r="I85" s="37"/>
      <c r="J85" s="140">
        <v>2</v>
      </c>
      <c r="K85" t="s">
        <v>182</v>
      </c>
      <c r="L85" s="24">
        <v>1</v>
      </c>
      <c r="M85" s="38"/>
      <c r="N85" s="56">
        <f>INDEX(Inventory!E:E,MATCH(K85, Inventory!A:A),1)</f>
        <v>1858</v>
      </c>
      <c r="O85" s="40">
        <f t="shared" si="44"/>
        <v>0</v>
      </c>
      <c r="P85" s="41">
        <f t="shared" si="45"/>
        <v>0</v>
      </c>
      <c r="Q85" s="41" cm="1">
        <f t="array" ref="Q85">MAX(IF($A:$A=$A85, $P:$P))</f>
        <v>0</v>
      </c>
      <c r="R85" s="113" t="s">
        <v>323</v>
      </c>
      <c r="S85" s="116">
        <v>1</v>
      </c>
      <c r="T85" s="117"/>
      <c r="U85" s="56">
        <f>IF(S85 &gt; 0,INDEX(Inventory!E:E,MATCH(R85, Inventory!A:A),1), "")</f>
        <v>1819</v>
      </c>
      <c r="V85" s="40">
        <f t="shared" si="46"/>
        <v>0</v>
      </c>
      <c r="W85" s="41">
        <f t="shared" si="47"/>
        <v>0</v>
      </c>
      <c r="Z85" s="38"/>
      <c r="AA85" s="56" t="str">
        <f>IF(Y85&gt;0, INDEX(Inventory!E:E,MATCH(X85, Inventory!A:A),1), "")</f>
        <v/>
      </c>
      <c r="AB85" s="42">
        <f t="shared" si="48"/>
        <v>0</v>
      </c>
      <c r="AC85" s="41">
        <f t="shared" si="49"/>
        <v>0</v>
      </c>
      <c r="AD85" s="114">
        <f t="shared" si="50"/>
        <v>0</v>
      </c>
      <c r="AE85" s="7">
        <f t="shared" si="51"/>
        <v>0</v>
      </c>
      <c r="AF85" s="7">
        <f t="shared" si="52"/>
        <v>0</v>
      </c>
      <c r="AG85" s="43">
        <f t="shared" si="53"/>
        <v>0</v>
      </c>
      <c r="AH85" s="43">
        <f t="shared" si="54"/>
        <v>1819</v>
      </c>
      <c r="AI85" s="43">
        <f t="shared" si="55"/>
        <v>0</v>
      </c>
    </row>
    <row r="86" spans="1:35" x14ac:dyDescent="0.25">
      <c r="A86" s="113" t="s">
        <v>190</v>
      </c>
      <c r="C86" t="s">
        <v>845</v>
      </c>
      <c r="D86" t="s">
        <v>838</v>
      </c>
      <c r="F86" s="46">
        <v>1</v>
      </c>
      <c r="G86" s="57">
        <f t="shared" si="42"/>
        <v>0</v>
      </c>
      <c r="H86" s="36">
        <f t="shared" si="43"/>
        <v>929</v>
      </c>
      <c r="I86" s="37"/>
      <c r="J86" s="140">
        <v>2</v>
      </c>
      <c r="K86" t="s">
        <v>182</v>
      </c>
      <c r="L86" s="24">
        <v>2</v>
      </c>
      <c r="M86" s="38"/>
      <c r="N86" s="56">
        <f>INDEX(Inventory!E:E,MATCH(K86, Inventory!A:A),1)</f>
        <v>1858</v>
      </c>
      <c r="O86" s="40">
        <f t="shared" si="44"/>
        <v>0</v>
      </c>
      <c r="P86" s="41">
        <f t="shared" si="45"/>
        <v>0</v>
      </c>
      <c r="Q86" s="41" cm="1">
        <f t="array" ref="Q86">MAX(IF($A:$A=$A86, $P:$P))</f>
        <v>0</v>
      </c>
      <c r="R86" s="113" t="s">
        <v>209</v>
      </c>
      <c r="S86" s="116">
        <v>1</v>
      </c>
      <c r="T86" s="117"/>
      <c r="U86" s="56">
        <f>IF(S86 &gt; 0,INDEX(Inventory!E:E,MATCH(R86, Inventory!A:A),1), "")</f>
        <v>9872</v>
      </c>
      <c r="V86" s="40">
        <f t="shared" si="46"/>
        <v>0</v>
      </c>
      <c r="W86" s="41">
        <f t="shared" si="47"/>
        <v>0</v>
      </c>
      <c r="Z86" s="38"/>
      <c r="AA86" s="56" t="str">
        <f>IF(Y86&gt;0, INDEX(Inventory!E:E,MATCH(X86, Inventory!A:A),1), "")</f>
        <v/>
      </c>
      <c r="AB86" s="42">
        <f t="shared" si="48"/>
        <v>0</v>
      </c>
      <c r="AC86" s="41">
        <f t="shared" si="49"/>
        <v>0</v>
      </c>
      <c r="AD86" s="114">
        <f t="shared" si="50"/>
        <v>0</v>
      </c>
      <c r="AE86" s="7">
        <f t="shared" si="51"/>
        <v>0</v>
      </c>
      <c r="AF86" s="7">
        <f t="shared" si="52"/>
        <v>0</v>
      </c>
      <c r="AG86" s="43">
        <f t="shared" si="53"/>
        <v>0</v>
      </c>
      <c r="AH86" s="43">
        <f t="shared" si="54"/>
        <v>929</v>
      </c>
      <c r="AI86" s="43">
        <f t="shared" si="55"/>
        <v>0</v>
      </c>
    </row>
    <row r="87" spans="1:35" x14ac:dyDescent="0.25">
      <c r="A87" s="113" t="s">
        <v>190</v>
      </c>
      <c r="C87" t="s">
        <v>845</v>
      </c>
      <c r="D87" t="s">
        <v>838</v>
      </c>
      <c r="F87" s="46">
        <v>2</v>
      </c>
      <c r="G87" s="57">
        <f t="shared" si="42"/>
        <v>0</v>
      </c>
      <c r="H87" s="36">
        <f t="shared" si="43"/>
        <v>3716</v>
      </c>
      <c r="I87" s="37"/>
      <c r="J87" s="140">
        <v>1</v>
      </c>
      <c r="K87" t="s">
        <v>182</v>
      </c>
      <c r="L87" s="24">
        <v>1</v>
      </c>
      <c r="M87" s="38"/>
      <c r="N87" s="56">
        <f>INDEX(Inventory!E:E,MATCH(K87, Inventory!A:A),1)</f>
        <v>1858</v>
      </c>
      <c r="O87" s="40">
        <f t="shared" si="44"/>
        <v>0</v>
      </c>
      <c r="P87" s="41">
        <f t="shared" si="45"/>
        <v>0</v>
      </c>
      <c r="Q87" s="41" cm="1">
        <f t="array" ref="Q87">MAX(IF($A:$A=$A87, $P:$P))</f>
        <v>0</v>
      </c>
      <c r="R87" s="113"/>
      <c r="S87" s="116"/>
      <c r="T87" s="117"/>
      <c r="U87" s="56" t="str">
        <f>IF(S87 &gt; 0,INDEX(Inventory!E:E,MATCH(R87, Inventory!A:A),1), "")</f>
        <v/>
      </c>
      <c r="V87" s="40">
        <f t="shared" si="46"/>
        <v>0</v>
      </c>
      <c r="W87" s="41">
        <f t="shared" si="47"/>
        <v>0</v>
      </c>
      <c r="Z87" s="38"/>
      <c r="AA87" s="56" t="str">
        <f>IF(Y87&gt;0, INDEX(Inventory!E:E,MATCH(X87, Inventory!A:A),1), "")</f>
        <v/>
      </c>
      <c r="AB87" s="42">
        <f t="shared" si="48"/>
        <v>0</v>
      </c>
      <c r="AC87" s="41">
        <f t="shared" si="49"/>
        <v>0</v>
      </c>
      <c r="AD87" s="114">
        <f t="shared" si="50"/>
        <v>0</v>
      </c>
      <c r="AE87" s="7">
        <f t="shared" si="51"/>
        <v>0</v>
      </c>
      <c r="AF87" s="7">
        <f t="shared" si="52"/>
        <v>0</v>
      </c>
      <c r="AG87" s="43">
        <f t="shared" si="53"/>
        <v>3716</v>
      </c>
      <c r="AH87" s="43">
        <f t="shared" si="54"/>
        <v>0</v>
      </c>
      <c r="AI87" s="43">
        <f t="shared" si="55"/>
        <v>0</v>
      </c>
    </row>
    <row r="88" spans="1:35" x14ac:dyDescent="0.25">
      <c r="A88" s="113" t="s">
        <v>747</v>
      </c>
      <c r="D88" t="s">
        <v>833</v>
      </c>
      <c r="F88" s="34">
        <v>1</v>
      </c>
      <c r="G88" s="54">
        <f t="shared" si="42"/>
        <v>0</v>
      </c>
      <c r="H88" s="36">
        <f t="shared" si="43"/>
        <v>23</v>
      </c>
      <c r="I88" s="37"/>
      <c r="J88" s="140">
        <v>2</v>
      </c>
      <c r="K88" t="s">
        <v>773</v>
      </c>
      <c r="L88" s="24">
        <v>1</v>
      </c>
      <c r="M88" s="38"/>
      <c r="N88" s="56">
        <f>INDEX(Inventory!E:E,MATCH(K88, Inventory!A:A),1)</f>
        <v>23</v>
      </c>
      <c r="O88" s="40">
        <f t="shared" si="44"/>
        <v>0</v>
      </c>
      <c r="P88" s="41">
        <f t="shared" si="45"/>
        <v>0</v>
      </c>
      <c r="Q88" s="41" cm="1">
        <f t="array" ref="Q88">MAX(IF($A:$A=$A88, $P:$P))</f>
        <v>0</v>
      </c>
      <c r="R88" s="113" t="s">
        <v>772</v>
      </c>
      <c r="S88" s="116">
        <v>1</v>
      </c>
      <c r="T88" s="117"/>
      <c r="U88" s="56">
        <f>IF(S88 &gt; 0,INDEX(Inventory!E:E,MATCH(R88, Inventory!A:A),1), "")</f>
        <v>44</v>
      </c>
      <c r="V88" s="40">
        <f t="shared" si="46"/>
        <v>0</v>
      </c>
      <c r="W88" s="41">
        <f t="shared" si="47"/>
        <v>0</v>
      </c>
      <c r="Z88" s="38"/>
      <c r="AA88" s="56" t="str">
        <f>IF(Y88&gt;0, INDEX(Inventory!E:E,MATCH(X88, Inventory!A:A),1), "")</f>
        <v/>
      </c>
      <c r="AB88" s="42">
        <f t="shared" si="48"/>
        <v>0</v>
      </c>
      <c r="AC88" s="41">
        <f t="shared" si="49"/>
        <v>0</v>
      </c>
      <c r="AD88" s="114">
        <f t="shared" si="50"/>
        <v>0</v>
      </c>
      <c r="AE88" s="7">
        <f t="shared" si="51"/>
        <v>0</v>
      </c>
      <c r="AF88" s="7">
        <f t="shared" si="52"/>
        <v>0</v>
      </c>
      <c r="AG88" s="43">
        <f t="shared" si="53"/>
        <v>0</v>
      </c>
      <c r="AH88" s="43">
        <f t="shared" si="54"/>
        <v>23</v>
      </c>
      <c r="AI88" s="43">
        <f t="shared" si="55"/>
        <v>0</v>
      </c>
    </row>
    <row r="89" spans="1:35" x14ac:dyDescent="0.25">
      <c r="A89" s="113" t="s">
        <v>748</v>
      </c>
      <c r="D89" t="s">
        <v>833</v>
      </c>
      <c r="F89" s="34">
        <v>1</v>
      </c>
      <c r="G89" s="54">
        <f t="shared" si="42"/>
        <v>0</v>
      </c>
      <c r="H89" s="36">
        <f t="shared" si="43"/>
        <v>0</v>
      </c>
      <c r="I89" s="37"/>
      <c r="J89" s="140">
        <v>3</v>
      </c>
      <c r="K89" t="s">
        <v>776</v>
      </c>
      <c r="L89" s="24">
        <v>1</v>
      </c>
      <c r="M89" s="38"/>
      <c r="N89" s="56">
        <f>INDEX(Inventory!E:E,MATCH(K89, Inventory!A:A),1)</f>
        <v>0</v>
      </c>
      <c r="O89" s="40">
        <f t="shared" si="44"/>
        <v>0</v>
      </c>
      <c r="P89" s="41">
        <f t="shared" si="45"/>
        <v>0</v>
      </c>
      <c r="Q89" s="41" cm="1">
        <f t="array" ref="Q89">MAX(IF($A:$A=$A89, $P:$P))</f>
        <v>0</v>
      </c>
      <c r="R89" s="113" t="s">
        <v>780</v>
      </c>
      <c r="S89" s="116">
        <v>1</v>
      </c>
      <c r="T89" s="117"/>
      <c r="U89" s="56">
        <f>IF(S89 &gt; 0,INDEX(Inventory!E:E,MATCH(R89, Inventory!A:A),1), "")</f>
        <v>3</v>
      </c>
      <c r="V89" s="40">
        <f t="shared" si="46"/>
        <v>0</v>
      </c>
      <c r="W89" s="41">
        <f t="shared" si="47"/>
        <v>0</v>
      </c>
      <c r="X89" t="s">
        <v>750</v>
      </c>
      <c r="Y89" s="24">
        <v>1</v>
      </c>
      <c r="Z89" s="38"/>
      <c r="AA89" s="56">
        <f>IF(Y89&gt;0, INDEX(Inventory!E:E,MATCH(X89, Inventory!A:A),1), "")</f>
        <v>43</v>
      </c>
      <c r="AB89" s="42">
        <f t="shared" si="48"/>
        <v>0</v>
      </c>
      <c r="AC89" s="41">
        <f t="shared" si="49"/>
        <v>0</v>
      </c>
      <c r="AD89" s="114">
        <f t="shared" si="50"/>
        <v>0</v>
      </c>
      <c r="AE89" s="7">
        <f t="shared" si="51"/>
        <v>0</v>
      </c>
      <c r="AF89" s="7">
        <f t="shared" si="52"/>
        <v>0</v>
      </c>
      <c r="AG89" s="43">
        <f t="shared" si="53"/>
        <v>0</v>
      </c>
      <c r="AH89" s="43">
        <f t="shared" si="54"/>
        <v>0</v>
      </c>
      <c r="AI89" s="43">
        <f t="shared" si="55"/>
        <v>0</v>
      </c>
    </row>
    <row r="90" spans="1:35" x14ac:dyDescent="0.25">
      <c r="A90" s="113" t="s">
        <v>877</v>
      </c>
      <c r="B90" s="113" t="s">
        <v>878</v>
      </c>
      <c r="C90" t="s">
        <v>836</v>
      </c>
      <c r="D90" t="s">
        <v>833</v>
      </c>
      <c r="F90" s="34">
        <v>1</v>
      </c>
      <c r="G90" s="54">
        <f t="shared" si="42"/>
        <v>0</v>
      </c>
      <c r="H90" s="36">
        <f t="shared" si="43"/>
        <v>9</v>
      </c>
      <c r="I90" s="37"/>
      <c r="J90" s="140">
        <v>3</v>
      </c>
      <c r="K90" t="s">
        <v>196</v>
      </c>
      <c r="L90" s="24">
        <v>60</v>
      </c>
      <c r="M90" s="45"/>
      <c r="N90" s="56">
        <f>INDEX(Inventory!E:E,MATCH(K90, Inventory!A:A),1)</f>
        <v>616165</v>
      </c>
      <c r="O90" s="40">
        <f t="shared" si="44"/>
        <v>0</v>
      </c>
      <c r="P90" s="53">
        <f t="shared" si="45"/>
        <v>0</v>
      </c>
      <c r="Q90" s="41" cm="1">
        <f t="array" ref="Q90">MAX(IF($A:$A=$A90, $P:$P))</f>
        <v>0</v>
      </c>
      <c r="R90" s="113" t="s">
        <v>726</v>
      </c>
      <c r="S90" s="116">
        <v>35</v>
      </c>
      <c r="T90" s="117"/>
      <c r="U90" s="56">
        <f>IF(S90 &gt; 0,INDEX(Inventory!E:E,MATCH(R90, Inventory!A:A),1), "")</f>
        <v>18593</v>
      </c>
      <c r="V90" s="40">
        <f t="shared" si="46"/>
        <v>0</v>
      </c>
      <c r="W90" s="41">
        <f t="shared" si="47"/>
        <v>0</v>
      </c>
      <c r="X90" t="s">
        <v>770</v>
      </c>
      <c r="Y90" s="24">
        <v>2</v>
      </c>
      <c r="Z90" s="38"/>
      <c r="AA90" s="56">
        <f>IF(Y90&gt;0, INDEX(Inventory!E:E,MATCH(X90, Inventory!A:A),1), "")</f>
        <v>19</v>
      </c>
      <c r="AB90" s="42">
        <f t="shared" si="48"/>
        <v>0</v>
      </c>
      <c r="AC90" s="41">
        <f t="shared" si="49"/>
        <v>0</v>
      </c>
      <c r="AD90" s="114">
        <f t="shared" si="50"/>
        <v>0</v>
      </c>
      <c r="AE90" s="7">
        <f t="shared" si="51"/>
        <v>0</v>
      </c>
      <c r="AF90" s="7">
        <f t="shared" si="52"/>
        <v>0</v>
      </c>
      <c r="AG90" s="43">
        <f t="shared" si="53"/>
        <v>0</v>
      </c>
      <c r="AH90" s="43">
        <f t="shared" si="54"/>
        <v>0</v>
      </c>
      <c r="AI90" s="43">
        <f t="shared" si="55"/>
        <v>9.5</v>
      </c>
    </row>
    <row r="91" spans="1:35" x14ac:dyDescent="0.25">
      <c r="A91" s="113" t="s">
        <v>749</v>
      </c>
      <c r="C91" t="s">
        <v>845</v>
      </c>
      <c r="D91" t="s">
        <v>838</v>
      </c>
      <c r="F91" s="34">
        <v>1</v>
      </c>
      <c r="G91" s="54">
        <f t="shared" si="42"/>
        <v>0</v>
      </c>
      <c r="H91" s="36">
        <f t="shared" si="43"/>
        <v>1181</v>
      </c>
      <c r="I91" s="37"/>
      <c r="J91" s="140">
        <v>2</v>
      </c>
      <c r="K91" t="s">
        <v>795</v>
      </c>
      <c r="L91" s="24">
        <v>2</v>
      </c>
      <c r="M91" s="38"/>
      <c r="N91" s="56">
        <f>INDEX(Inventory!E:E,MATCH(K91, Inventory!A:A),1)</f>
        <v>2362</v>
      </c>
      <c r="O91" s="40">
        <f t="shared" si="44"/>
        <v>0</v>
      </c>
      <c r="P91" s="53">
        <f t="shared" si="45"/>
        <v>0</v>
      </c>
      <c r="Q91" s="41" cm="1">
        <f t="array" ref="Q91">MAX(IF($A:$A=$A91, $P:$P))</f>
        <v>0</v>
      </c>
      <c r="R91" s="113" t="s">
        <v>209</v>
      </c>
      <c r="S91" s="116">
        <v>1</v>
      </c>
      <c r="T91" s="117"/>
      <c r="U91" s="56">
        <f>IF(S91 &gt; 0,INDEX(Inventory!E:E,MATCH(R91, Inventory!A:A),1), "")</f>
        <v>9872</v>
      </c>
      <c r="V91" s="40">
        <f t="shared" si="46"/>
        <v>0</v>
      </c>
      <c r="W91" s="41">
        <f t="shared" si="47"/>
        <v>0</v>
      </c>
      <c r="Z91" s="38"/>
      <c r="AA91" s="56" t="str">
        <f>IF(Y91&gt;0, INDEX(Inventory!E:E,MATCH(X91, Inventory!A:A),1), "")</f>
        <v/>
      </c>
      <c r="AB91" s="42">
        <f t="shared" si="48"/>
        <v>0</v>
      </c>
      <c r="AC91" s="41">
        <f t="shared" si="49"/>
        <v>0</v>
      </c>
      <c r="AD91" s="114">
        <f t="shared" si="50"/>
        <v>0</v>
      </c>
      <c r="AE91" s="7">
        <f t="shared" si="51"/>
        <v>0</v>
      </c>
      <c r="AF91" s="7">
        <f t="shared" si="52"/>
        <v>0</v>
      </c>
      <c r="AG91" s="43">
        <f t="shared" si="53"/>
        <v>0</v>
      </c>
      <c r="AH91" s="43">
        <f t="shared" si="54"/>
        <v>1181</v>
      </c>
      <c r="AI91" s="43">
        <f t="shared" si="55"/>
        <v>0</v>
      </c>
    </row>
    <row r="92" spans="1:35" x14ac:dyDescent="0.25">
      <c r="A92" s="113" t="s">
        <v>749</v>
      </c>
      <c r="C92" t="s">
        <v>845</v>
      </c>
      <c r="D92" t="s">
        <v>838</v>
      </c>
      <c r="F92" s="34">
        <v>1</v>
      </c>
      <c r="G92" s="54">
        <f t="shared" si="42"/>
        <v>0</v>
      </c>
      <c r="H92" s="36">
        <f t="shared" si="43"/>
        <v>2362</v>
      </c>
      <c r="I92" s="37"/>
      <c r="J92" s="140">
        <v>2</v>
      </c>
      <c r="K92" t="s">
        <v>795</v>
      </c>
      <c r="L92" s="24">
        <v>1</v>
      </c>
      <c r="M92" s="38"/>
      <c r="N92" s="56">
        <f>INDEX(Inventory!E:E,MATCH(K92, Inventory!A:A),1)</f>
        <v>2362</v>
      </c>
      <c r="O92" s="40">
        <f t="shared" si="44"/>
        <v>0</v>
      </c>
      <c r="P92" s="41">
        <f t="shared" si="45"/>
        <v>0</v>
      </c>
      <c r="Q92" s="41" cm="1">
        <f t="array" ref="Q92">MAX(IF($A:$A=$A92, $P:$P))</f>
        <v>0</v>
      </c>
      <c r="R92" s="113" t="s">
        <v>781</v>
      </c>
      <c r="S92" s="116">
        <v>1</v>
      </c>
      <c r="T92" s="117"/>
      <c r="U92" s="56">
        <f>IF(S92 &gt; 0,INDEX(Inventory!E:E,MATCH(R92, Inventory!A:A),1), "")</f>
        <v>4291</v>
      </c>
      <c r="V92" s="40">
        <f t="shared" si="46"/>
        <v>0</v>
      </c>
      <c r="W92" s="41">
        <f t="shared" si="47"/>
        <v>0</v>
      </c>
      <c r="Z92" s="38"/>
      <c r="AA92" s="56" t="str">
        <f>IF(Y92&gt;0, INDEX(Inventory!E:E,MATCH(X92, Inventory!A:A),1), "")</f>
        <v/>
      </c>
      <c r="AB92" s="42">
        <f t="shared" si="48"/>
        <v>0</v>
      </c>
      <c r="AC92" s="41">
        <f t="shared" si="49"/>
        <v>0</v>
      </c>
      <c r="AD92" s="114">
        <f t="shared" si="50"/>
        <v>0</v>
      </c>
      <c r="AE92" s="7">
        <f t="shared" si="51"/>
        <v>0</v>
      </c>
      <c r="AF92" s="7">
        <f t="shared" si="52"/>
        <v>0</v>
      </c>
      <c r="AG92" s="43">
        <f t="shared" si="53"/>
        <v>0</v>
      </c>
      <c r="AH92" s="43">
        <f t="shared" si="54"/>
        <v>2362</v>
      </c>
      <c r="AI92" s="43">
        <f t="shared" si="55"/>
        <v>0</v>
      </c>
    </row>
    <row r="93" spans="1:35" x14ac:dyDescent="0.25">
      <c r="A93" s="113" t="s">
        <v>749</v>
      </c>
      <c r="C93" t="s">
        <v>845</v>
      </c>
      <c r="D93" t="s">
        <v>838</v>
      </c>
      <c r="F93" s="34">
        <v>2</v>
      </c>
      <c r="G93" s="54">
        <f t="shared" si="42"/>
        <v>0</v>
      </c>
      <c r="H93" s="36">
        <f t="shared" si="43"/>
        <v>4724</v>
      </c>
      <c r="I93" s="37"/>
      <c r="J93" s="140">
        <v>2</v>
      </c>
      <c r="K93" t="s">
        <v>749</v>
      </c>
      <c r="L93" s="24">
        <v>1</v>
      </c>
      <c r="M93" s="38"/>
      <c r="N93" s="56">
        <f>INDEX(Inventory!E:E,MATCH(K93, Inventory!A:A),1)</f>
        <v>15499</v>
      </c>
      <c r="O93" s="40">
        <f t="shared" si="44"/>
        <v>0</v>
      </c>
      <c r="P93" s="41">
        <f t="shared" si="45"/>
        <v>0</v>
      </c>
      <c r="Q93" s="41" cm="1">
        <f t="array" ref="Q93">MAX(IF($A:$A=$A93, $P:$P))</f>
        <v>0</v>
      </c>
      <c r="R93" s="113" t="s">
        <v>795</v>
      </c>
      <c r="S93" s="116">
        <v>1</v>
      </c>
      <c r="T93" s="117"/>
      <c r="U93" s="56">
        <f>IF(S93 &gt; 0,INDEX(Inventory!E:E,MATCH(R93, Inventory!A:A),1), "")</f>
        <v>2362</v>
      </c>
      <c r="V93" s="40">
        <f t="shared" si="46"/>
        <v>0</v>
      </c>
      <c r="W93" s="41">
        <f t="shared" si="47"/>
        <v>0</v>
      </c>
      <c r="Z93" s="38"/>
      <c r="AA93" s="56" t="str">
        <f>IF(Y93&gt;0, INDEX(Inventory!E:E,MATCH(X93, Inventory!A:A),1), "")</f>
        <v/>
      </c>
      <c r="AB93" s="42">
        <f t="shared" si="48"/>
        <v>0</v>
      </c>
      <c r="AC93" s="41">
        <f t="shared" si="49"/>
        <v>0</v>
      </c>
      <c r="AD93" s="114">
        <f t="shared" si="50"/>
        <v>0</v>
      </c>
      <c r="AE93" s="7">
        <f t="shared" si="51"/>
        <v>0</v>
      </c>
      <c r="AF93" s="7">
        <f t="shared" si="52"/>
        <v>0</v>
      </c>
      <c r="AG93" s="43">
        <f t="shared" si="53"/>
        <v>0</v>
      </c>
      <c r="AH93" s="43">
        <f t="shared" si="54"/>
        <v>4724</v>
      </c>
      <c r="AI93" s="43">
        <f t="shared" si="55"/>
        <v>0</v>
      </c>
    </row>
    <row r="94" spans="1:35" x14ac:dyDescent="0.25">
      <c r="A94" s="113" t="s">
        <v>879</v>
      </c>
      <c r="C94" t="s">
        <v>845</v>
      </c>
      <c r="D94" t="s">
        <v>833</v>
      </c>
      <c r="F94" s="34">
        <v>1</v>
      </c>
      <c r="G94" s="54">
        <f t="shared" si="42"/>
        <v>0</v>
      </c>
      <c r="H94" s="36">
        <f t="shared" si="43"/>
        <v>94</v>
      </c>
      <c r="I94" s="37"/>
      <c r="J94" s="140">
        <v>2</v>
      </c>
      <c r="K94" t="s">
        <v>749</v>
      </c>
      <c r="L94" s="24">
        <v>50</v>
      </c>
      <c r="M94" s="38"/>
      <c r="N94" s="56">
        <f>INDEX(Inventory!E:E,MATCH(K94, Inventory!A:A),1)</f>
        <v>15499</v>
      </c>
      <c r="O94" s="40">
        <f t="shared" si="44"/>
        <v>0</v>
      </c>
      <c r="P94" s="41">
        <f t="shared" si="45"/>
        <v>0</v>
      </c>
      <c r="Q94" s="41" cm="1">
        <f t="array" ref="Q94">MAX(IF($A:$A=$A94, $P:$P))</f>
        <v>0</v>
      </c>
      <c r="R94" s="113" t="s">
        <v>795</v>
      </c>
      <c r="S94" s="116">
        <v>25</v>
      </c>
      <c r="T94" s="117"/>
      <c r="U94" s="56">
        <f>IF(S94 &gt; 0,INDEX(Inventory!E:E,MATCH(R94, Inventory!A:A),1), "")</f>
        <v>2362</v>
      </c>
      <c r="V94" s="40">
        <f t="shared" si="46"/>
        <v>0</v>
      </c>
      <c r="W94" s="41">
        <f t="shared" si="47"/>
        <v>0</v>
      </c>
      <c r="Z94" s="38"/>
      <c r="AA94" s="56" t="str">
        <f>IF(Y94&gt;0, INDEX(Inventory!E:E,MATCH(X94, Inventory!A:A),1), "")</f>
        <v/>
      </c>
      <c r="AB94" s="42">
        <f t="shared" si="48"/>
        <v>0</v>
      </c>
      <c r="AC94" s="41">
        <f t="shared" si="49"/>
        <v>0</v>
      </c>
      <c r="AD94" s="114">
        <f t="shared" si="50"/>
        <v>0</v>
      </c>
      <c r="AE94" s="7">
        <f t="shared" si="51"/>
        <v>0</v>
      </c>
      <c r="AF94" s="7">
        <f t="shared" si="52"/>
        <v>0</v>
      </c>
      <c r="AG94" s="43">
        <f t="shared" si="53"/>
        <v>0</v>
      </c>
      <c r="AH94" s="43">
        <f t="shared" si="54"/>
        <v>94.48</v>
      </c>
      <c r="AI94" s="43">
        <f t="shared" si="55"/>
        <v>0</v>
      </c>
    </row>
    <row r="95" spans="1:35" x14ac:dyDescent="0.25">
      <c r="A95" s="113" t="s">
        <v>750</v>
      </c>
      <c r="C95" t="s">
        <v>837</v>
      </c>
      <c r="D95" t="s">
        <v>833</v>
      </c>
      <c r="F95" s="34">
        <v>1</v>
      </c>
      <c r="G95" s="54">
        <f t="shared" si="42"/>
        <v>0</v>
      </c>
      <c r="H95" s="36">
        <f t="shared" si="43"/>
        <v>5</v>
      </c>
      <c r="I95" s="37"/>
      <c r="J95" s="140">
        <v>3</v>
      </c>
      <c r="K95" t="s">
        <v>737</v>
      </c>
      <c r="L95" s="24">
        <v>1</v>
      </c>
      <c r="M95" s="38"/>
      <c r="N95" s="56">
        <f>INDEX(Inventory!E:E,MATCH(K95, Inventory!A:A),1)</f>
        <v>9</v>
      </c>
      <c r="O95" s="40">
        <f t="shared" si="44"/>
        <v>0</v>
      </c>
      <c r="P95" s="41">
        <f t="shared" si="45"/>
        <v>0</v>
      </c>
      <c r="Q95" s="41" cm="1">
        <f t="array" ref="Q95">MAX(IF($A:$A=$A95, $P:$P))</f>
        <v>0</v>
      </c>
      <c r="R95" s="113" t="s">
        <v>755</v>
      </c>
      <c r="S95" s="116">
        <v>1</v>
      </c>
      <c r="T95" s="117"/>
      <c r="U95" s="56">
        <f>IF(S95 &gt; 0,INDEX(Inventory!E:E,MATCH(R95, Inventory!A:A),1), "")</f>
        <v>5</v>
      </c>
      <c r="V95" s="40">
        <f t="shared" si="46"/>
        <v>0</v>
      </c>
      <c r="W95" s="41">
        <f t="shared" si="47"/>
        <v>0</v>
      </c>
      <c r="X95" t="s">
        <v>762</v>
      </c>
      <c r="Y95" s="24">
        <v>1</v>
      </c>
      <c r="Z95" s="38"/>
      <c r="AA95" s="56">
        <f>IF(Y95&gt;0, INDEX(Inventory!E:E,MATCH(X95, Inventory!A:A),1), "")</f>
        <v>60</v>
      </c>
      <c r="AB95" s="42">
        <f t="shared" si="48"/>
        <v>0</v>
      </c>
      <c r="AC95" s="41">
        <f t="shared" si="49"/>
        <v>0</v>
      </c>
      <c r="AD95" s="114">
        <f t="shared" si="50"/>
        <v>0</v>
      </c>
      <c r="AE95" s="7">
        <f t="shared" si="51"/>
        <v>0</v>
      </c>
      <c r="AF95" s="7">
        <f t="shared" si="52"/>
        <v>0</v>
      </c>
      <c r="AG95" s="43">
        <f t="shared" si="53"/>
        <v>0</v>
      </c>
      <c r="AH95" s="43">
        <f t="shared" si="54"/>
        <v>0</v>
      </c>
      <c r="AI95" s="43">
        <f t="shared" si="55"/>
        <v>5</v>
      </c>
    </row>
    <row r="96" spans="1:35" x14ac:dyDescent="0.25">
      <c r="A96" s="113" t="s">
        <v>751</v>
      </c>
      <c r="C96" t="s">
        <v>847</v>
      </c>
      <c r="D96" t="s">
        <v>838</v>
      </c>
      <c r="F96" s="34">
        <v>1</v>
      </c>
      <c r="G96" s="54">
        <f t="shared" si="42"/>
        <v>0</v>
      </c>
      <c r="H96" s="36">
        <f t="shared" si="43"/>
        <v>132</v>
      </c>
      <c r="I96" s="37"/>
      <c r="J96" s="140">
        <v>2</v>
      </c>
      <c r="K96" t="s">
        <v>733</v>
      </c>
      <c r="L96" s="24">
        <v>50</v>
      </c>
      <c r="M96" s="38"/>
      <c r="N96" s="56">
        <f>INDEX(Inventory!E:E,MATCH(K96, Inventory!A:A),1)</f>
        <v>6640</v>
      </c>
      <c r="O96" s="40">
        <f t="shared" si="44"/>
        <v>0</v>
      </c>
      <c r="P96" s="41">
        <f t="shared" si="45"/>
        <v>0</v>
      </c>
      <c r="Q96" s="41" cm="1">
        <f t="array" ref="Q96">MAX(IF($A:$A=$A96, $P:$P))</f>
        <v>0</v>
      </c>
      <c r="R96" s="113" t="s">
        <v>195</v>
      </c>
      <c r="S96" s="116">
        <v>50</v>
      </c>
      <c r="T96" s="117"/>
      <c r="U96" s="56">
        <f>IF(S96 &gt; 0,INDEX(Inventory!E:E,MATCH(R96, Inventory!A:A),1), "")</f>
        <v>15125</v>
      </c>
      <c r="V96" s="40">
        <f t="shared" si="46"/>
        <v>0</v>
      </c>
      <c r="W96" s="41">
        <f t="shared" si="47"/>
        <v>0</v>
      </c>
      <c r="Z96" s="38"/>
      <c r="AA96" s="56" t="str">
        <f>IF(Y96&gt;0, INDEX(Inventory!E:E,MATCH(X96, Inventory!A:A),1), "")</f>
        <v/>
      </c>
      <c r="AB96" s="42">
        <f t="shared" si="48"/>
        <v>0</v>
      </c>
      <c r="AC96" s="41">
        <f t="shared" si="49"/>
        <v>0</v>
      </c>
      <c r="AD96" s="114">
        <f t="shared" si="50"/>
        <v>0</v>
      </c>
      <c r="AE96" s="7">
        <f t="shared" si="51"/>
        <v>0</v>
      </c>
      <c r="AF96" s="7">
        <f t="shared" si="52"/>
        <v>0</v>
      </c>
      <c r="AG96" s="43">
        <f t="shared" si="53"/>
        <v>0</v>
      </c>
      <c r="AH96" s="43">
        <f t="shared" si="54"/>
        <v>132.80000000000001</v>
      </c>
      <c r="AI96" s="43">
        <f t="shared" si="55"/>
        <v>0</v>
      </c>
    </row>
    <row r="97" spans="1:35" x14ac:dyDescent="0.25">
      <c r="A97" s="113" t="s">
        <v>751</v>
      </c>
      <c r="C97" t="s">
        <v>847</v>
      </c>
      <c r="D97" t="s">
        <v>833</v>
      </c>
      <c r="F97" s="34">
        <v>1</v>
      </c>
      <c r="G97" s="54">
        <f t="shared" si="42"/>
        <v>0</v>
      </c>
      <c r="H97" s="36">
        <f t="shared" si="43"/>
        <v>76</v>
      </c>
      <c r="I97" s="37"/>
      <c r="J97" s="140">
        <v>1</v>
      </c>
      <c r="K97" t="s">
        <v>189</v>
      </c>
      <c r="L97" s="24">
        <v>40</v>
      </c>
      <c r="M97" s="38"/>
      <c r="N97" s="56">
        <f>INDEX(Inventory!E:E,MATCH(K97, Inventory!A:A),1)</f>
        <v>3049</v>
      </c>
      <c r="O97" s="40">
        <f t="shared" si="44"/>
        <v>0</v>
      </c>
      <c r="P97" s="41">
        <f t="shared" si="45"/>
        <v>0</v>
      </c>
      <c r="Q97" s="41" cm="1">
        <f t="array" ref="Q97">MAX(IF($A:$A=$A97, $P:$P))</f>
        <v>0</v>
      </c>
      <c r="R97" s="113"/>
      <c r="S97" s="116"/>
      <c r="T97" s="117"/>
      <c r="U97" s="56" t="str">
        <f>IF(S97 &gt; 0,INDEX(Inventory!E:E,MATCH(R97, Inventory!A:A),1), "")</f>
        <v/>
      </c>
      <c r="V97" s="40">
        <f t="shared" si="46"/>
        <v>0</v>
      </c>
      <c r="W97" s="41">
        <f t="shared" si="47"/>
        <v>0</v>
      </c>
      <c r="Z97" s="38"/>
      <c r="AA97" s="56" t="str">
        <f>IF(Y97&gt;0, INDEX(Inventory!E:E,MATCH(X97, Inventory!A:A),1), "")</f>
        <v/>
      </c>
      <c r="AB97" s="42">
        <f t="shared" si="48"/>
        <v>0</v>
      </c>
      <c r="AC97" s="41">
        <f t="shared" si="49"/>
        <v>0</v>
      </c>
      <c r="AD97" s="114">
        <f t="shared" si="50"/>
        <v>0</v>
      </c>
      <c r="AE97" s="7">
        <f t="shared" si="51"/>
        <v>0</v>
      </c>
      <c r="AF97" s="7">
        <f t="shared" si="52"/>
        <v>0</v>
      </c>
      <c r="AG97" s="43">
        <f t="shared" si="53"/>
        <v>76.224999999999994</v>
      </c>
      <c r="AH97" s="43">
        <f t="shared" si="54"/>
        <v>0</v>
      </c>
      <c r="AI97" s="43">
        <f t="shared" si="55"/>
        <v>0</v>
      </c>
    </row>
    <row r="98" spans="1:35" x14ac:dyDescent="0.25">
      <c r="A98" s="113" t="s">
        <v>751</v>
      </c>
      <c r="C98" t="s">
        <v>847</v>
      </c>
      <c r="D98" t="s">
        <v>838</v>
      </c>
      <c r="F98" s="34">
        <v>1</v>
      </c>
      <c r="G98" s="54">
        <f t="shared" si="42"/>
        <v>0</v>
      </c>
      <c r="H98" s="36">
        <f t="shared" si="43"/>
        <v>76</v>
      </c>
      <c r="I98" s="37"/>
      <c r="J98" s="140">
        <v>1</v>
      </c>
      <c r="K98" t="s">
        <v>189</v>
      </c>
      <c r="L98" s="24">
        <v>40</v>
      </c>
      <c r="M98" s="38"/>
      <c r="N98" s="56">
        <f>INDEX(Inventory!E:E,MATCH(K98, Inventory!A:A),1)</f>
        <v>3049</v>
      </c>
      <c r="O98" s="40">
        <f t="shared" si="44"/>
        <v>0</v>
      </c>
      <c r="P98" s="41">
        <f t="shared" si="45"/>
        <v>0</v>
      </c>
      <c r="Q98" s="41" cm="1">
        <f t="array" ref="Q98">MAX(IF($A:$A=$A98, $P:$P))</f>
        <v>0</v>
      </c>
      <c r="R98" s="113"/>
      <c r="S98" s="116"/>
      <c r="T98" s="117"/>
      <c r="U98" s="56" t="str">
        <f>IF(S98 &gt; 0,INDEX(Inventory!E:E,MATCH(R98, Inventory!A:A),1), "")</f>
        <v/>
      </c>
      <c r="V98" s="40">
        <f t="shared" si="46"/>
        <v>0</v>
      </c>
      <c r="W98" s="41">
        <f t="shared" si="47"/>
        <v>0</v>
      </c>
      <c r="Z98" s="38"/>
      <c r="AA98" s="56" t="str">
        <f>IF(Y98&gt;0, INDEX(Inventory!E:E,MATCH(X98, Inventory!A:A),1), "")</f>
        <v/>
      </c>
      <c r="AB98" s="42">
        <f t="shared" si="48"/>
        <v>0</v>
      </c>
      <c r="AC98" s="41">
        <f t="shared" si="49"/>
        <v>0</v>
      </c>
      <c r="AD98" s="114">
        <f t="shared" si="50"/>
        <v>0</v>
      </c>
      <c r="AE98" s="7">
        <f t="shared" si="51"/>
        <v>0</v>
      </c>
      <c r="AF98" s="7">
        <f t="shared" si="52"/>
        <v>0</v>
      </c>
      <c r="AG98" s="43">
        <f t="shared" si="53"/>
        <v>76.224999999999994</v>
      </c>
      <c r="AH98" s="43">
        <f t="shared" si="54"/>
        <v>0</v>
      </c>
      <c r="AI98" s="43">
        <f t="shared" si="55"/>
        <v>0</v>
      </c>
    </row>
    <row r="99" spans="1:35" x14ac:dyDescent="0.25">
      <c r="A99" s="113" t="s">
        <v>751</v>
      </c>
      <c r="C99" t="s">
        <v>847</v>
      </c>
      <c r="D99" t="s">
        <v>838</v>
      </c>
      <c r="F99" s="34">
        <v>1</v>
      </c>
      <c r="G99" s="54">
        <f t="shared" si="42"/>
        <v>0</v>
      </c>
      <c r="H99" s="36">
        <f t="shared" si="43"/>
        <v>465</v>
      </c>
      <c r="I99" s="37"/>
      <c r="J99" s="140">
        <v>1</v>
      </c>
      <c r="K99" t="s">
        <v>783</v>
      </c>
      <c r="L99" s="24">
        <v>40</v>
      </c>
      <c r="M99" s="38"/>
      <c r="N99" s="56">
        <f>INDEX(Inventory!E:E,MATCH(K99, Inventory!A:A),1)</f>
        <v>18616</v>
      </c>
      <c r="O99" s="40">
        <f t="shared" si="44"/>
        <v>0</v>
      </c>
      <c r="P99" s="41">
        <f t="shared" si="45"/>
        <v>0</v>
      </c>
      <c r="Q99" s="41" cm="1">
        <f t="array" ref="Q99">MAX(IF($A:$A=$A99, $P:$P))</f>
        <v>0</v>
      </c>
      <c r="R99" s="113"/>
      <c r="S99" s="116"/>
      <c r="T99" s="117"/>
      <c r="U99" s="56" t="str">
        <f>IF(S99 &gt; 0,INDEX(Inventory!E:E,MATCH(R99, Inventory!A:A),1), "")</f>
        <v/>
      </c>
      <c r="V99" s="40">
        <f t="shared" si="46"/>
        <v>0</v>
      </c>
      <c r="W99" s="41">
        <f t="shared" si="47"/>
        <v>0</v>
      </c>
      <c r="Z99" s="38"/>
      <c r="AA99" s="56" t="str">
        <f>IF(Y99&gt;0, INDEX(Inventory!E:E,MATCH(X99, Inventory!A:A),1), "")</f>
        <v/>
      </c>
      <c r="AB99" s="42">
        <f t="shared" si="48"/>
        <v>0</v>
      </c>
      <c r="AC99" s="41">
        <f t="shared" si="49"/>
        <v>0</v>
      </c>
      <c r="AD99" s="114">
        <f t="shared" si="50"/>
        <v>0</v>
      </c>
      <c r="AE99" s="7">
        <f t="shared" si="51"/>
        <v>0</v>
      </c>
      <c r="AF99" s="7">
        <f t="shared" si="52"/>
        <v>0</v>
      </c>
      <c r="AG99" s="43">
        <f t="shared" si="53"/>
        <v>465.4</v>
      </c>
      <c r="AH99" s="43">
        <f t="shared" si="54"/>
        <v>0</v>
      </c>
      <c r="AI99" s="43">
        <f t="shared" si="55"/>
        <v>0</v>
      </c>
    </row>
    <row r="100" spans="1:35" x14ac:dyDescent="0.25">
      <c r="A100" s="113" t="s">
        <v>755</v>
      </c>
      <c r="C100" t="s">
        <v>837</v>
      </c>
      <c r="D100" t="s">
        <v>838</v>
      </c>
      <c r="E100" t="s">
        <v>196</v>
      </c>
      <c r="F100" s="34">
        <v>1</v>
      </c>
      <c r="G100" s="55">
        <f t="shared" ref="G100:G131" si="56">MAX(AD100:AF100)</f>
        <v>0</v>
      </c>
      <c r="H100" s="36">
        <f t="shared" ref="H100:H131" si="57">ROUNDDOWN(MAX(AG100:AI100),0)</f>
        <v>61</v>
      </c>
      <c r="I100" s="37">
        <v>120</v>
      </c>
      <c r="J100" s="140">
        <v>3</v>
      </c>
      <c r="K100" t="s">
        <v>182</v>
      </c>
      <c r="L100" s="24">
        <v>30</v>
      </c>
      <c r="M100" s="45"/>
      <c r="N100" s="58">
        <f>INDEX(Inventory!E:E,MATCH(K100, Inventory!A:A),1)</f>
        <v>1858</v>
      </c>
      <c r="O100" s="48">
        <f t="shared" ref="O100:O131" si="58">I100/F100*L100</f>
        <v>3600</v>
      </c>
      <c r="P100" s="41">
        <f t="shared" ref="P100:P131" si="59">IF(ISBLANK(I100), 0, N100/O100)</f>
        <v>0.51611111111111108</v>
      </c>
      <c r="Q100" s="41" cm="1">
        <f t="array" ref="Q100">MAX(IF($A:$A=$A100, $P:$P))</f>
        <v>0.51611111111111108</v>
      </c>
      <c r="R100" s="113" t="s">
        <v>752</v>
      </c>
      <c r="S100" s="116">
        <v>10</v>
      </c>
      <c r="T100" s="117"/>
      <c r="U100" s="58">
        <f>IF(S100 &gt; 0,INDEX(Inventory!E:E,MATCH(R100, Inventory!A:A),1), "")</f>
        <v>4286</v>
      </c>
      <c r="V100" s="48">
        <f t="shared" ref="V100:V131" si="60">I100/F100*S100</f>
        <v>1200</v>
      </c>
      <c r="W100" s="41">
        <f t="shared" ref="W100:W131" si="61">IF(ISBLANK(I100),0,IF(ISBLANK(S100),0,U100/V100))</f>
        <v>3.5716666666666668</v>
      </c>
      <c r="X100" t="s">
        <v>186</v>
      </c>
      <c r="Y100" s="24">
        <v>60</v>
      </c>
      <c r="Z100" s="38"/>
      <c r="AA100" s="58">
        <f>IF(Y100&gt;0, INDEX(Inventory!E:E,MATCH(X100, Inventory!A:A),1), "")</f>
        <v>10347</v>
      </c>
      <c r="AB100" s="49">
        <f t="shared" ref="AB100:AB131" si="62">I100/F100*Y100</f>
        <v>7200</v>
      </c>
      <c r="AC100" s="41">
        <f t="shared" ref="AC100:AC131" si="63">IF(ISBLANK(I100), 0, IF(ISBLANK(Y100), 0, AA100/AB100))</f>
        <v>1.4370833333333333</v>
      </c>
      <c r="AD100" s="114">
        <f t="shared" ref="AD100:AD131" si="64">IF(J100=1, M100/L100*F100, 0)</f>
        <v>0</v>
      </c>
      <c r="AE100" s="7">
        <f t="shared" ref="AE100:AE131" si="65">IF(J100=2, MIN(M100/L100, T100/S100)* F100,0)</f>
        <v>0</v>
      </c>
      <c r="AF100" s="7">
        <f t="shared" ref="AF100:AF131" si="66">IF(J100=3, MIN(M100/L100, T100/S100, Z100/Y100) * F100, 0)</f>
        <v>0</v>
      </c>
      <c r="AG100" s="43">
        <f t="shared" ref="AG100:AG131" si="67">IF(J100=1, N100/L100*F100, 0)</f>
        <v>0</v>
      </c>
      <c r="AH100" s="43">
        <f t="shared" ref="AH100:AH131" si="68">IF(J100=2,MIN(N100/L100, U100/S100)* F100,0)</f>
        <v>0</v>
      </c>
      <c r="AI100" s="43">
        <f t="shared" ref="AI100:AI131" si="69">IF(J100=3, MIN(N100/L100, U100/S100, AA100/Y100) * F100, 0)</f>
        <v>61.93333333333333</v>
      </c>
    </row>
    <row r="101" spans="1:35" x14ac:dyDescent="0.25">
      <c r="A101" s="113" t="s">
        <v>755</v>
      </c>
      <c r="C101" t="s">
        <v>837</v>
      </c>
      <c r="D101" t="s">
        <v>838</v>
      </c>
      <c r="E101" t="s">
        <v>196</v>
      </c>
      <c r="F101" s="34">
        <v>1</v>
      </c>
      <c r="G101" s="55">
        <f t="shared" si="56"/>
        <v>0</v>
      </c>
      <c r="H101" s="36">
        <f t="shared" si="57"/>
        <v>61</v>
      </c>
      <c r="I101" s="37">
        <v>120</v>
      </c>
      <c r="J101" s="140">
        <v>3</v>
      </c>
      <c r="K101" t="s">
        <v>182</v>
      </c>
      <c r="L101" s="24">
        <v>30</v>
      </c>
      <c r="M101" s="45"/>
      <c r="N101" s="58">
        <f>INDEX(Inventory!E:E,MATCH(K101, Inventory!A:A),1)</f>
        <v>1858</v>
      </c>
      <c r="O101" s="48">
        <f t="shared" si="58"/>
        <v>3600</v>
      </c>
      <c r="P101" s="41">
        <f t="shared" si="59"/>
        <v>0.51611111111111108</v>
      </c>
      <c r="Q101" s="41" cm="1">
        <f t="array" ref="Q101">MAX(IF($A:$A=$A101, $P:$P))</f>
        <v>0.51611111111111108</v>
      </c>
      <c r="R101" s="113" t="s">
        <v>774</v>
      </c>
      <c r="S101" s="116">
        <v>5</v>
      </c>
      <c r="T101" s="117"/>
      <c r="U101" s="58">
        <f>IF(S101 &gt; 0,INDEX(Inventory!E:E,MATCH(R101, Inventory!A:A),1), "")</f>
        <v>9743</v>
      </c>
      <c r="V101" s="48">
        <f t="shared" si="60"/>
        <v>600</v>
      </c>
      <c r="W101" s="41">
        <f t="shared" si="61"/>
        <v>16.238333333333333</v>
      </c>
      <c r="X101" t="s">
        <v>186</v>
      </c>
      <c r="Y101" s="24">
        <v>60</v>
      </c>
      <c r="Z101" s="38"/>
      <c r="AA101" s="58">
        <f>IF(Y101&gt;0, INDEX(Inventory!E:E,MATCH(X101, Inventory!A:A),1), "")</f>
        <v>10347</v>
      </c>
      <c r="AB101" s="49">
        <f t="shared" si="62"/>
        <v>7200</v>
      </c>
      <c r="AC101" s="41">
        <f t="shared" si="63"/>
        <v>1.4370833333333333</v>
      </c>
      <c r="AD101" s="114">
        <f t="shared" si="64"/>
        <v>0</v>
      </c>
      <c r="AE101" s="7">
        <f t="shared" si="65"/>
        <v>0</v>
      </c>
      <c r="AF101" s="7">
        <f t="shared" si="66"/>
        <v>0</v>
      </c>
      <c r="AG101" s="43">
        <f t="shared" si="67"/>
        <v>0</v>
      </c>
      <c r="AH101" s="43">
        <f t="shared" si="68"/>
        <v>0</v>
      </c>
      <c r="AI101" s="43">
        <f t="shared" si="69"/>
        <v>61.93333333333333</v>
      </c>
    </row>
    <row r="102" spans="1:35" x14ac:dyDescent="0.25">
      <c r="A102" s="113" t="s">
        <v>755</v>
      </c>
      <c r="C102" t="s">
        <v>837</v>
      </c>
      <c r="D102" t="s">
        <v>838</v>
      </c>
      <c r="E102" t="s">
        <v>196</v>
      </c>
      <c r="F102" s="34">
        <v>1</v>
      </c>
      <c r="G102" s="55">
        <f t="shared" si="56"/>
        <v>0</v>
      </c>
      <c r="H102" s="36">
        <f t="shared" si="57"/>
        <v>61</v>
      </c>
      <c r="I102" s="37">
        <v>120</v>
      </c>
      <c r="J102" s="140">
        <v>3</v>
      </c>
      <c r="K102" t="s">
        <v>182</v>
      </c>
      <c r="L102" s="24">
        <v>30</v>
      </c>
      <c r="M102" s="45"/>
      <c r="N102" s="58">
        <f>INDEX(Inventory!E:E,MATCH(K102, Inventory!A:A),1)</f>
        <v>1858</v>
      </c>
      <c r="O102" s="48">
        <f t="shared" si="58"/>
        <v>3600</v>
      </c>
      <c r="P102" s="41">
        <f t="shared" si="59"/>
        <v>0.51611111111111108</v>
      </c>
      <c r="Q102" s="41" cm="1">
        <f t="array" ref="Q102">MAX(IF($A:$A=$A102, $P:$P))</f>
        <v>0.51611111111111108</v>
      </c>
      <c r="R102" s="113" t="s">
        <v>792</v>
      </c>
      <c r="S102" s="116">
        <v>20</v>
      </c>
      <c r="T102" s="117"/>
      <c r="U102" s="58">
        <f>IF(S102 &gt; 0,INDEX(Inventory!E:E,MATCH(R102, Inventory!A:A),1), "")</f>
        <v>16709</v>
      </c>
      <c r="V102" s="48">
        <f t="shared" si="60"/>
        <v>2400</v>
      </c>
      <c r="W102" s="41">
        <f t="shared" si="61"/>
        <v>6.9620833333333332</v>
      </c>
      <c r="X102" t="s">
        <v>186</v>
      </c>
      <c r="Y102" s="24">
        <v>60</v>
      </c>
      <c r="Z102" s="38"/>
      <c r="AA102" s="58">
        <f>IF(Y102&gt;0, INDEX(Inventory!E:E,MATCH(X102, Inventory!A:A),1), "")</f>
        <v>10347</v>
      </c>
      <c r="AB102" s="49">
        <f t="shared" si="62"/>
        <v>7200</v>
      </c>
      <c r="AC102" s="41">
        <f t="shared" si="63"/>
        <v>1.4370833333333333</v>
      </c>
      <c r="AD102" s="114">
        <f t="shared" si="64"/>
        <v>0</v>
      </c>
      <c r="AE102" s="7">
        <f t="shared" si="65"/>
        <v>0</v>
      </c>
      <c r="AF102" s="7">
        <f t="shared" si="66"/>
        <v>0</v>
      </c>
      <c r="AG102" s="43">
        <f t="shared" si="67"/>
        <v>0</v>
      </c>
      <c r="AH102" s="43">
        <f t="shared" si="68"/>
        <v>0</v>
      </c>
      <c r="AI102" s="43">
        <f t="shared" si="69"/>
        <v>61.93333333333333</v>
      </c>
    </row>
    <row r="103" spans="1:35" x14ac:dyDescent="0.25">
      <c r="A103" s="113" t="s">
        <v>755</v>
      </c>
      <c r="C103" t="s">
        <v>837</v>
      </c>
      <c r="D103" t="s">
        <v>838</v>
      </c>
      <c r="E103" t="s">
        <v>196</v>
      </c>
      <c r="F103" s="34">
        <v>1</v>
      </c>
      <c r="G103" s="55">
        <f t="shared" si="56"/>
        <v>0</v>
      </c>
      <c r="H103" s="36">
        <f t="shared" si="57"/>
        <v>61</v>
      </c>
      <c r="I103" s="37">
        <v>120</v>
      </c>
      <c r="J103" s="140">
        <v>3</v>
      </c>
      <c r="K103" t="s">
        <v>182</v>
      </c>
      <c r="L103" s="24">
        <v>30</v>
      </c>
      <c r="M103" s="45"/>
      <c r="N103" s="58">
        <f>INDEX(Inventory!E:E,MATCH(K103, Inventory!A:A),1)</f>
        <v>1858</v>
      </c>
      <c r="O103" s="48">
        <f t="shared" si="58"/>
        <v>3600</v>
      </c>
      <c r="P103" s="41">
        <f t="shared" si="59"/>
        <v>0.51611111111111108</v>
      </c>
      <c r="Q103" s="41" cm="1">
        <f t="array" ref="Q103">MAX(IF($A:$A=$A103, $P:$P))</f>
        <v>0.51611111111111108</v>
      </c>
      <c r="R103" s="113" t="s">
        <v>752</v>
      </c>
      <c r="S103" s="116">
        <v>10</v>
      </c>
      <c r="T103" s="117"/>
      <c r="U103" s="58">
        <f>IF(S103 &gt; 0,INDEX(Inventory!E:E,MATCH(R103, Inventory!A:A),1), "")</f>
        <v>4286</v>
      </c>
      <c r="V103" s="48">
        <f t="shared" si="60"/>
        <v>1200</v>
      </c>
      <c r="W103" s="41">
        <f t="shared" si="61"/>
        <v>3.5716666666666668</v>
      </c>
      <c r="X103" t="s">
        <v>759</v>
      </c>
      <c r="Y103" s="24">
        <v>30</v>
      </c>
      <c r="Z103" s="38"/>
      <c r="AA103" s="58">
        <f>IF(Y103&gt;0, INDEX(Inventory!E:E,MATCH(X103, Inventory!A:A),1), "")</f>
        <v>2836</v>
      </c>
      <c r="AB103" s="49">
        <f t="shared" si="62"/>
        <v>3600</v>
      </c>
      <c r="AC103" s="41">
        <f t="shared" si="63"/>
        <v>0.7877777777777778</v>
      </c>
      <c r="AD103" s="114">
        <f t="shared" si="64"/>
        <v>0</v>
      </c>
      <c r="AE103" s="7">
        <f t="shared" si="65"/>
        <v>0</v>
      </c>
      <c r="AF103" s="7">
        <f t="shared" si="66"/>
        <v>0</v>
      </c>
      <c r="AG103" s="43">
        <f t="shared" si="67"/>
        <v>0</v>
      </c>
      <c r="AH103" s="43">
        <f t="shared" si="68"/>
        <v>0</v>
      </c>
      <c r="AI103" s="43">
        <f t="shared" si="69"/>
        <v>61.93333333333333</v>
      </c>
    </row>
    <row r="104" spans="1:35" x14ac:dyDescent="0.25">
      <c r="A104" s="113" t="s">
        <v>755</v>
      </c>
      <c r="C104" t="s">
        <v>837</v>
      </c>
      <c r="D104" t="s">
        <v>838</v>
      </c>
      <c r="E104" t="s">
        <v>196</v>
      </c>
      <c r="F104" s="34">
        <v>1</v>
      </c>
      <c r="G104" s="55">
        <f t="shared" si="56"/>
        <v>0</v>
      </c>
      <c r="H104" s="36">
        <f t="shared" si="57"/>
        <v>61</v>
      </c>
      <c r="I104" s="37">
        <v>120</v>
      </c>
      <c r="J104" s="140">
        <v>3</v>
      </c>
      <c r="K104" t="s">
        <v>182</v>
      </c>
      <c r="L104" s="24">
        <v>30</v>
      </c>
      <c r="M104" s="45"/>
      <c r="N104" s="58">
        <f>INDEX(Inventory!E:E,MATCH(K104, Inventory!A:A),1)</f>
        <v>1858</v>
      </c>
      <c r="O104" s="48">
        <f t="shared" si="58"/>
        <v>3600</v>
      </c>
      <c r="P104" s="41">
        <f t="shared" si="59"/>
        <v>0.51611111111111108</v>
      </c>
      <c r="Q104" s="41" cm="1">
        <f t="array" ref="Q104">MAX(IF($A:$A=$A104, $P:$P))</f>
        <v>0.51611111111111108</v>
      </c>
      <c r="R104" s="113" t="s">
        <v>774</v>
      </c>
      <c r="S104" s="116">
        <v>5</v>
      </c>
      <c r="T104" s="117"/>
      <c r="U104" s="58">
        <f>IF(S104 &gt; 0,INDEX(Inventory!E:E,MATCH(R104, Inventory!A:A),1), "")</f>
        <v>9743</v>
      </c>
      <c r="V104" s="48">
        <f t="shared" si="60"/>
        <v>600</v>
      </c>
      <c r="W104" s="41">
        <f t="shared" si="61"/>
        <v>16.238333333333333</v>
      </c>
      <c r="X104" t="s">
        <v>759</v>
      </c>
      <c r="Y104" s="24">
        <v>30</v>
      </c>
      <c r="Z104" s="38"/>
      <c r="AA104" s="58">
        <f>IF(Y104&gt;0, INDEX(Inventory!E:E,MATCH(X104, Inventory!A:A),1), "")</f>
        <v>2836</v>
      </c>
      <c r="AB104" s="49">
        <f t="shared" si="62"/>
        <v>3600</v>
      </c>
      <c r="AC104" s="41">
        <f t="shared" si="63"/>
        <v>0.7877777777777778</v>
      </c>
      <c r="AD104" s="114">
        <f t="shared" si="64"/>
        <v>0</v>
      </c>
      <c r="AE104" s="7">
        <f t="shared" si="65"/>
        <v>0</v>
      </c>
      <c r="AF104" s="7">
        <f t="shared" si="66"/>
        <v>0</v>
      </c>
      <c r="AG104" s="43">
        <f t="shared" si="67"/>
        <v>0</v>
      </c>
      <c r="AH104" s="43">
        <f t="shared" si="68"/>
        <v>0</v>
      </c>
      <c r="AI104" s="43">
        <f t="shared" si="69"/>
        <v>61.93333333333333</v>
      </c>
    </row>
    <row r="105" spans="1:35" x14ac:dyDescent="0.25">
      <c r="A105" s="113" t="s">
        <v>755</v>
      </c>
      <c r="C105" t="s">
        <v>837</v>
      </c>
      <c r="D105" t="s">
        <v>838</v>
      </c>
      <c r="E105" t="s">
        <v>196</v>
      </c>
      <c r="F105" s="34">
        <v>1</v>
      </c>
      <c r="G105" s="55">
        <f t="shared" si="56"/>
        <v>0</v>
      </c>
      <c r="H105" s="36">
        <f t="shared" si="57"/>
        <v>61</v>
      </c>
      <c r="I105" s="37">
        <v>120</v>
      </c>
      <c r="J105" s="140">
        <v>3</v>
      </c>
      <c r="K105" t="s">
        <v>182</v>
      </c>
      <c r="L105" s="24">
        <v>30</v>
      </c>
      <c r="M105" s="45"/>
      <c r="N105" s="58">
        <f>INDEX(Inventory!E:E,MATCH(K105, Inventory!A:A),1)</f>
        <v>1858</v>
      </c>
      <c r="O105" s="48">
        <f t="shared" si="58"/>
        <v>3600</v>
      </c>
      <c r="P105" s="41">
        <f t="shared" si="59"/>
        <v>0.51611111111111108</v>
      </c>
      <c r="Q105" s="41" cm="1">
        <f t="array" ref="Q105">MAX(IF($A:$A=$A105, $P:$P))</f>
        <v>0.51611111111111108</v>
      </c>
      <c r="R105" s="113" t="s">
        <v>792</v>
      </c>
      <c r="S105" s="116">
        <v>20</v>
      </c>
      <c r="T105" s="117"/>
      <c r="U105" s="58">
        <f>IF(S105 &gt; 0,INDEX(Inventory!E:E,MATCH(R105, Inventory!A:A),1), "")</f>
        <v>16709</v>
      </c>
      <c r="V105" s="48">
        <f t="shared" si="60"/>
        <v>2400</v>
      </c>
      <c r="W105" s="41">
        <f t="shared" si="61"/>
        <v>6.9620833333333332</v>
      </c>
      <c r="X105" t="s">
        <v>759</v>
      </c>
      <c r="Y105" s="24">
        <v>30</v>
      </c>
      <c r="Z105" s="38"/>
      <c r="AA105" s="58">
        <f>IF(Y105&gt;0, INDEX(Inventory!E:E,MATCH(X105, Inventory!A:A),1), "")</f>
        <v>2836</v>
      </c>
      <c r="AB105" s="49">
        <f t="shared" si="62"/>
        <v>3600</v>
      </c>
      <c r="AC105" s="41">
        <f t="shared" si="63"/>
        <v>0.7877777777777778</v>
      </c>
      <c r="AD105" s="114">
        <f t="shared" si="64"/>
        <v>0</v>
      </c>
      <c r="AE105" s="7">
        <f t="shared" si="65"/>
        <v>0</v>
      </c>
      <c r="AF105" s="7">
        <f t="shared" si="66"/>
        <v>0</v>
      </c>
      <c r="AG105" s="43">
        <f t="shared" si="67"/>
        <v>0</v>
      </c>
      <c r="AH105" s="43">
        <f t="shared" si="68"/>
        <v>0</v>
      </c>
      <c r="AI105" s="43">
        <f t="shared" si="69"/>
        <v>61.93333333333333</v>
      </c>
    </row>
    <row r="106" spans="1:35" x14ac:dyDescent="0.25">
      <c r="A106" s="113" t="s">
        <v>755</v>
      </c>
      <c r="C106" t="s">
        <v>837</v>
      </c>
      <c r="D106" t="s">
        <v>833</v>
      </c>
      <c r="E106" t="s">
        <v>196</v>
      </c>
      <c r="F106" s="34">
        <v>1</v>
      </c>
      <c r="G106" s="55">
        <f t="shared" si="56"/>
        <v>0</v>
      </c>
      <c r="H106" s="36">
        <f t="shared" si="57"/>
        <v>37</v>
      </c>
      <c r="I106" s="37">
        <v>120</v>
      </c>
      <c r="J106" s="140">
        <v>2</v>
      </c>
      <c r="K106" t="s">
        <v>182</v>
      </c>
      <c r="L106" s="24">
        <v>50</v>
      </c>
      <c r="M106" s="45"/>
      <c r="N106" s="58">
        <f>INDEX(Inventory!E:E,MATCH(K106, Inventory!A:A),1)</f>
        <v>1858</v>
      </c>
      <c r="O106" s="48">
        <f t="shared" si="58"/>
        <v>6000</v>
      </c>
      <c r="P106" s="41">
        <f t="shared" si="59"/>
        <v>0.30966666666666665</v>
      </c>
      <c r="Q106" s="41" cm="1">
        <f t="array" ref="Q106">MAX(IF($A:$A=$A106, $P:$P))</f>
        <v>0.51611111111111108</v>
      </c>
      <c r="R106" s="113" t="s">
        <v>759</v>
      </c>
      <c r="S106" s="116">
        <v>50</v>
      </c>
      <c r="T106" s="117"/>
      <c r="U106" s="58">
        <f>IF(S106 &gt; 0,INDEX(Inventory!E:E,MATCH(R106, Inventory!A:A),1), "")</f>
        <v>2836</v>
      </c>
      <c r="V106" s="48">
        <f t="shared" si="60"/>
        <v>6000</v>
      </c>
      <c r="W106" s="41">
        <f t="shared" si="61"/>
        <v>0.47266666666666668</v>
      </c>
      <c r="Z106" s="38"/>
      <c r="AA106" s="58" t="str">
        <f>IF(Y106&gt;0, INDEX(Inventory!E:E,MATCH(X106, Inventory!A:A),1), "")</f>
        <v/>
      </c>
      <c r="AB106" s="49">
        <f t="shared" si="62"/>
        <v>0</v>
      </c>
      <c r="AC106" s="41">
        <f t="shared" si="63"/>
        <v>0</v>
      </c>
      <c r="AD106" s="114">
        <f t="shared" si="64"/>
        <v>0</v>
      </c>
      <c r="AE106" s="7">
        <f t="shared" si="65"/>
        <v>0</v>
      </c>
      <c r="AF106" s="7">
        <f t="shared" si="66"/>
        <v>0</v>
      </c>
      <c r="AG106" s="43">
        <f t="shared" si="67"/>
        <v>0</v>
      </c>
      <c r="AH106" s="43">
        <f t="shared" si="68"/>
        <v>37.159999999999997</v>
      </c>
      <c r="AI106" s="43">
        <f t="shared" si="69"/>
        <v>0</v>
      </c>
    </row>
    <row r="107" spans="1:35" x14ac:dyDescent="0.25">
      <c r="A107" s="113" t="s">
        <v>756</v>
      </c>
      <c r="C107" t="s">
        <v>880</v>
      </c>
      <c r="D107" t="s">
        <v>833</v>
      </c>
      <c r="E107" t="s">
        <v>732</v>
      </c>
      <c r="F107" s="34">
        <v>1</v>
      </c>
      <c r="G107" s="54">
        <f t="shared" si="56"/>
        <v>0</v>
      </c>
      <c r="H107" s="36">
        <f t="shared" si="57"/>
        <v>44</v>
      </c>
      <c r="I107" s="37"/>
      <c r="J107" s="140">
        <v>2</v>
      </c>
      <c r="K107" t="s">
        <v>739</v>
      </c>
      <c r="L107" s="24">
        <v>1</v>
      </c>
      <c r="M107" s="38"/>
      <c r="N107" s="56">
        <f>INDEX(Inventory!E:E,MATCH(K107, Inventory!A:A),1)</f>
        <v>94</v>
      </c>
      <c r="O107" s="40">
        <f t="shared" si="58"/>
        <v>0</v>
      </c>
      <c r="P107" s="41">
        <f t="shared" si="59"/>
        <v>0</v>
      </c>
      <c r="Q107" s="41" cm="1">
        <f t="array" ref="Q107">MAX(IF($A:$A=$A107, $P:$P))</f>
        <v>0</v>
      </c>
      <c r="R107" s="113" t="s">
        <v>772</v>
      </c>
      <c r="S107" s="116">
        <v>1</v>
      </c>
      <c r="T107" s="117"/>
      <c r="U107" s="56">
        <f>IF(S107 &gt; 0,INDEX(Inventory!E:E,MATCH(R107, Inventory!A:A),1), "")</f>
        <v>44</v>
      </c>
      <c r="V107" s="40">
        <f t="shared" si="60"/>
        <v>0</v>
      </c>
      <c r="W107" s="41">
        <f t="shared" si="61"/>
        <v>0</v>
      </c>
      <c r="Z107" s="38"/>
      <c r="AA107" s="56" t="str">
        <f>IF(Y107&gt;0, INDEX(Inventory!E:E,MATCH(X107, Inventory!A:A),1), "")</f>
        <v/>
      </c>
      <c r="AB107" s="42">
        <f t="shared" si="62"/>
        <v>0</v>
      </c>
      <c r="AC107" s="41">
        <f t="shared" si="63"/>
        <v>0</v>
      </c>
      <c r="AD107" s="114">
        <f t="shared" si="64"/>
        <v>0</v>
      </c>
      <c r="AE107" s="7">
        <f t="shared" si="65"/>
        <v>0</v>
      </c>
      <c r="AF107" s="7">
        <f t="shared" si="66"/>
        <v>0</v>
      </c>
      <c r="AG107" s="43">
        <f t="shared" si="67"/>
        <v>0</v>
      </c>
      <c r="AH107" s="43">
        <f t="shared" si="68"/>
        <v>44</v>
      </c>
      <c r="AI107" s="43">
        <f t="shared" si="69"/>
        <v>0</v>
      </c>
    </row>
    <row r="108" spans="1:35" x14ac:dyDescent="0.25">
      <c r="A108" s="113" t="s">
        <v>881</v>
      </c>
      <c r="B108" s="113" t="s">
        <v>882</v>
      </c>
      <c r="C108" t="s">
        <v>836</v>
      </c>
      <c r="D108" t="s">
        <v>833</v>
      </c>
      <c r="F108" s="34">
        <v>1</v>
      </c>
      <c r="G108" s="54">
        <f t="shared" si="56"/>
        <v>0</v>
      </c>
      <c r="H108" s="36">
        <f t="shared" si="57"/>
        <v>329</v>
      </c>
      <c r="I108" s="37">
        <v>600</v>
      </c>
      <c r="J108" s="140">
        <v>2</v>
      </c>
      <c r="K108" t="s">
        <v>196</v>
      </c>
      <c r="L108" s="24">
        <v>40</v>
      </c>
      <c r="M108" s="45"/>
      <c r="N108" s="56">
        <f>INDEX(Inventory!E:E,MATCH(K108, Inventory!A:A),1)</f>
        <v>616165</v>
      </c>
      <c r="O108" s="40">
        <f t="shared" si="58"/>
        <v>24000</v>
      </c>
      <c r="P108" s="41">
        <f t="shared" si="59"/>
        <v>25.673541666666665</v>
      </c>
      <c r="Q108" s="41" cm="1">
        <f t="array" ref="Q108">MAX(IF($A:$A=$A108, $P:$P))</f>
        <v>25.673541666666665</v>
      </c>
      <c r="R108" s="113" t="s">
        <v>209</v>
      </c>
      <c r="S108" s="116">
        <v>30</v>
      </c>
      <c r="T108" s="117"/>
      <c r="U108" s="56">
        <f>IF(S108 &gt; 0,INDEX(Inventory!E:E,MATCH(R108, Inventory!A:A),1), "")</f>
        <v>9872</v>
      </c>
      <c r="V108" s="40">
        <f t="shared" si="60"/>
        <v>18000</v>
      </c>
      <c r="W108" s="41">
        <f t="shared" si="61"/>
        <v>0.5484444444444444</v>
      </c>
      <c r="Z108" s="38"/>
      <c r="AA108" s="56" t="str">
        <f>IF(Y108&gt;0, INDEX(Inventory!E:E,MATCH(X108, Inventory!A:A),1), "")</f>
        <v/>
      </c>
      <c r="AB108" s="42">
        <f t="shared" si="62"/>
        <v>0</v>
      </c>
      <c r="AC108" s="41">
        <f t="shared" si="63"/>
        <v>0</v>
      </c>
      <c r="AD108" s="114">
        <f t="shared" si="64"/>
        <v>0</v>
      </c>
      <c r="AE108" s="7">
        <f t="shared" si="65"/>
        <v>0</v>
      </c>
      <c r="AF108" s="7">
        <f t="shared" si="66"/>
        <v>0</v>
      </c>
      <c r="AG108" s="43">
        <f t="shared" si="67"/>
        <v>0</v>
      </c>
      <c r="AH108" s="43">
        <f t="shared" si="68"/>
        <v>329.06666666666666</v>
      </c>
      <c r="AI108" s="43">
        <f t="shared" si="69"/>
        <v>0</v>
      </c>
    </row>
    <row r="109" spans="1:35" x14ac:dyDescent="0.25">
      <c r="A109" s="113" t="s">
        <v>883</v>
      </c>
      <c r="B109" s="113" t="s">
        <v>884</v>
      </c>
      <c r="C109" t="s">
        <v>836</v>
      </c>
      <c r="D109" t="s">
        <v>833</v>
      </c>
      <c r="F109" s="34">
        <v>1</v>
      </c>
      <c r="G109" s="54">
        <f t="shared" si="56"/>
        <v>6900</v>
      </c>
      <c r="H109" s="36">
        <f t="shared" si="57"/>
        <v>61616</v>
      </c>
      <c r="I109" s="37"/>
      <c r="J109" s="140">
        <v>1</v>
      </c>
      <c r="K109" t="s">
        <v>196</v>
      </c>
      <c r="L109" s="24">
        <v>10</v>
      </c>
      <c r="M109" s="45">
        <v>69000</v>
      </c>
      <c r="N109" s="56">
        <f>INDEX(Inventory!E:E,MATCH(K109, Inventory!A:A),1)</f>
        <v>616165</v>
      </c>
      <c r="O109" s="40">
        <f t="shared" si="58"/>
        <v>0</v>
      </c>
      <c r="P109" s="41">
        <f t="shared" si="59"/>
        <v>0</v>
      </c>
      <c r="Q109" s="41" cm="1">
        <f t="array" ref="Q109">MAX(IF($A:$A=$A109, $P:$P))</f>
        <v>0</v>
      </c>
      <c r="R109" s="113"/>
      <c r="S109" s="116"/>
      <c r="T109" s="117"/>
      <c r="U109" s="56" t="str">
        <f>IF(S109 &gt; 0,INDEX(Inventory!E:E,MATCH(R109, Inventory!A:A),1), "")</f>
        <v/>
      </c>
      <c r="V109" s="40">
        <f t="shared" si="60"/>
        <v>0</v>
      </c>
      <c r="W109" s="41">
        <f t="shared" si="61"/>
        <v>0</v>
      </c>
      <c r="Z109" s="38"/>
      <c r="AA109" s="56" t="str">
        <f>IF(Y109&gt;0, INDEX(Inventory!E:E,MATCH(X109, Inventory!A:A),1), "")</f>
        <v/>
      </c>
      <c r="AB109" s="42">
        <f t="shared" si="62"/>
        <v>0</v>
      </c>
      <c r="AC109" s="41">
        <f t="shared" si="63"/>
        <v>0</v>
      </c>
      <c r="AD109" s="114">
        <f t="shared" si="64"/>
        <v>6900</v>
      </c>
      <c r="AE109" s="7">
        <f t="shared" si="65"/>
        <v>0</v>
      </c>
      <c r="AF109" s="7">
        <f t="shared" si="66"/>
        <v>0</v>
      </c>
      <c r="AG109" s="43">
        <f t="shared" si="67"/>
        <v>61616.5</v>
      </c>
      <c r="AH109" s="43">
        <f t="shared" si="68"/>
        <v>0</v>
      </c>
      <c r="AI109" s="43">
        <f t="shared" si="69"/>
        <v>0</v>
      </c>
    </row>
    <row r="110" spans="1:35" x14ac:dyDescent="0.25">
      <c r="A110" s="113" t="s">
        <v>759</v>
      </c>
      <c r="C110" t="s">
        <v>837</v>
      </c>
      <c r="D110" t="s">
        <v>838</v>
      </c>
      <c r="E110" t="s">
        <v>885</v>
      </c>
      <c r="F110" s="34">
        <v>2</v>
      </c>
      <c r="G110" s="55">
        <f t="shared" si="56"/>
        <v>0</v>
      </c>
      <c r="H110" s="36">
        <f t="shared" si="57"/>
        <v>600</v>
      </c>
      <c r="I110" s="37">
        <v>3600</v>
      </c>
      <c r="J110" s="140">
        <v>2</v>
      </c>
      <c r="K110" t="s">
        <v>186</v>
      </c>
      <c r="L110" s="24">
        <v>1</v>
      </c>
      <c r="M110" s="45"/>
      <c r="N110" s="56">
        <f>INDEX(Inventory!E:E,MATCH(K110, Inventory!A:A),1)</f>
        <v>10347</v>
      </c>
      <c r="O110" s="48">
        <f t="shared" si="58"/>
        <v>1800</v>
      </c>
      <c r="P110" s="41">
        <f t="shared" si="59"/>
        <v>5.7483333333333331</v>
      </c>
      <c r="Q110" s="41" cm="1">
        <f t="array" ref="Q110">MAX(IF($A:$A=$A110, $P:$P))</f>
        <v>7.1854166666666668</v>
      </c>
      <c r="R110" s="113" t="s">
        <v>768</v>
      </c>
      <c r="S110" s="116">
        <v>1</v>
      </c>
      <c r="T110" s="117"/>
      <c r="U110" s="56">
        <f>IF(S110 &gt; 0,INDEX(Inventory!E:E,MATCH(R110, Inventory!A:A),1), "")</f>
        <v>300</v>
      </c>
      <c r="V110" s="40">
        <f t="shared" si="60"/>
        <v>1800</v>
      </c>
      <c r="W110" s="41">
        <f t="shared" si="61"/>
        <v>0.16666666666666666</v>
      </c>
      <c r="Z110" s="38"/>
      <c r="AA110" s="58" t="str">
        <f>IF(Y110&gt;0, INDEX(Inventory!E:E,MATCH(X110, Inventory!A:A),1), "")</f>
        <v/>
      </c>
      <c r="AB110" s="49">
        <f t="shared" si="62"/>
        <v>0</v>
      </c>
      <c r="AC110" s="41">
        <f t="shared" si="63"/>
        <v>0</v>
      </c>
      <c r="AD110" s="114">
        <f t="shared" si="64"/>
        <v>0</v>
      </c>
      <c r="AE110" s="7">
        <f t="shared" si="65"/>
        <v>0</v>
      </c>
      <c r="AF110" s="7">
        <f t="shared" si="66"/>
        <v>0</v>
      </c>
      <c r="AG110" s="43">
        <f t="shared" si="67"/>
        <v>0</v>
      </c>
      <c r="AH110" s="43">
        <f t="shared" si="68"/>
        <v>600</v>
      </c>
      <c r="AI110" s="43">
        <f t="shared" si="69"/>
        <v>0</v>
      </c>
    </row>
    <row r="111" spans="1:35" x14ac:dyDescent="0.25">
      <c r="A111" s="113" t="s">
        <v>759</v>
      </c>
      <c r="C111" t="s">
        <v>837</v>
      </c>
      <c r="D111" t="s">
        <v>838</v>
      </c>
      <c r="E111" t="s">
        <v>885</v>
      </c>
      <c r="F111" s="34">
        <v>2</v>
      </c>
      <c r="G111" s="55">
        <f t="shared" si="56"/>
        <v>0</v>
      </c>
      <c r="H111" s="36">
        <f t="shared" si="57"/>
        <v>600</v>
      </c>
      <c r="I111" s="37">
        <v>3600</v>
      </c>
      <c r="J111" s="140">
        <v>2</v>
      </c>
      <c r="K111" t="s">
        <v>759</v>
      </c>
      <c r="L111" s="24">
        <v>1</v>
      </c>
      <c r="M111" s="45"/>
      <c r="N111" s="58">
        <f>INDEX(Inventory!E:E,MATCH(K111, Inventory!A:A),1)</f>
        <v>2836</v>
      </c>
      <c r="O111" s="48">
        <f t="shared" si="58"/>
        <v>1800</v>
      </c>
      <c r="P111" s="41">
        <f t="shared" si="59"/>
        <v>1.5755555555555556</v>
      </c>
      <c r="Q111" s="41" cm="1">
        <f t="array" ref="Q111">MAX(IF($A:$A=$A111, $P:$P))</f>
        <v>7.1854166666666668</v>
      </c>
      <c r="R111" s="113" t="s">
        <v>768</v>
      </c>
      <c r="S111" s="116">
        <v>1</v>
      </c>
      <c r="T111" s="117"/>
      <c r="U111" s="58">
        <f>IF(S111 &gt; 0,INDEX(Inventory!E:E,MATCH(R111, Inventory!A:A),1), "")</f>
        <v>300</v>
      </c>
      <c r="V111" s="48">
        <f t="shared" si="60"/>
        <v>1800</v>
      </c>
      <c r="W111" s="41">
        <f t="shared" si="61"/>
        <v>0.16666666666666666</v>
      </c>
      <c r="Z111" s="38"/>
      <c r="AA111" s="58" t="str">
        <f>IF(Y111&gt;0, INDEX(Inventory!E:E,MATCH(X111, Inventory!A:A),1), "")</f>
        <v/>
      </c>
      <c r="AB111" s="49">
        <f t="shared" si="62"/>
        <v>0</v>
      </c>
      <c r="AC111" s="41">
        <f t="shared" si="63"/>
        <v>0</v>
      </c>
      <c r="AD111" s="114">
        <f t="shared" si="64"/>
        <v>0</v>
      </c>
      <c r="AE111" s="7">
        <f t="shared" si="65"/>
        <v>0</v>
      </c>
      <c r="AF111" s="7">
        <f t="shared" si="66"/>
        <v>0</v>
      </c>
      <c r="AG111" s="43">
        <f t="shared" si="67"/>
        <v>0</v>
      </c>
      <c r="AH111" s="43">
        <f t="shared" si="68"/>
        <v>600</v>
      </c>
      <c r="AI111" s="43">
        <f t="shared" si="69"/>
        <v>0</v>
      </c>
    </row>
    <row r="112" spans="1:35" x14ac:dyDescent="0.25">
      <c r="A112" s="113" t="s">
        <v>759</v>
      </c>
      <c r="C112" t="s">
        <v>837</v>
      </c>
      <c r="D112" t="s">
        <v>838</v>
      </c>
      <c r="E112" t="s">
        <v>885</v>
      </c>
      <c r="F112" s="34">
        <v>5</v>
      </c>
      <c r="G112" s="55">
        <f t="shared" si="56"/>
        <v>0</v>
      </c>
      <c r="H112" s="36">
        <f t="shared" si="57"/>
        <v>24680</v>
      </c>
      <c r="I112" s="37">
        <v>3600</v>
      </c>
      <c r="J112" s="140">
        <v>2</v>
      </c>
      <c r="K112" t="s">
        <v>186</v>
      </c>
      <c r="L112" s="24">
        <v>2</v>
      </c>
      <c r="M112" s="45"/>
      <c r="N112" s="58">
        <f>INDEX(Inventory!E:E,MATCH(K112, Inventory!A:A),1)</f>
        <v>10347</v>
      </c>
      <c r="O112" s="48">
        <f t="shared" si="58"/>
        <v>1440</v>
      </c>
      <c r="P112" s="41">
        <f t="shared" si="59"/>
        <v>7.1854166666666668</v>
      </c>
      <c r="Q112" s="41" cm="1">
        <f t="array" ref="Q112">MAX(IF($A:$A=$A112, $P:$P))</f>
        <v>7.1854166666666668</v>
      </c>
      <c r="R112" s="113" t="s">
        <v>209</v>
      </c>
      <c r="S112" s="116">
        <v>2</v>
      </c>
      <c r="T112" s="117"/>
      <c r="U112" s="58">
        <f>IF(S112 &gt; 0,INDEX(Inventory!E:E,MATCH(R112, Inventory!A:A),1), "")</f>
        <v>9872</v>
      </c>
      <c r="V112" s="48">
        <f t="shared" si="60"/>
        <v>1440</v>
      </c>
      <c r="W112" s="41">
        <f t="shared" si="61"/>
        <v>6.8555555555555552</v>
      </c>
      <c r="Z112" s="38"/>
      <c r="AA112" s="58" t="str">
        <f>IF(Y112&gt;0, INDEX(Inventory!E:E,MATCH(X112, Inventory!A:A),1), "")</f>
        <v/>
      </c>
      <c r="AB112" s="49">
        <f t="shared" si="62"/>
        <v>0</v>
      </c>
      <c r="AC112" s="41">
        <f t="shared" si="63"/>
        <v>0</v>
      </c>
      <c r="AD112" s="114">
        <f t="shared" si="64"/>
        <v>0</v>
      </c>
      <c r="AE112" s="7">
        <f t="shared" si="65"/>
        <v>0</v>
      </c>
      <c r="AF112" s="7">
        <f t="shared" si="66"/>
        <v>0</v>
      </c>
      <c r="AG112" s="43">
        <f t="shared" si="67"/>
        <v>0</v>
      </c>
      <c r="AH112" s="43">
        <f t="shared" si="68"/>
        <v>24680</v>
      </c>
      <c r="AI112" s="43">
        <f t="shared" si="69"/>
        <v>0</v>
      </c>
    </row>
    <row r="113" spans="1:35" x14ac:dyDescent="0.25">
      <c r="A113" s="113" t="s">
        <v>759</v>
      </c>
      <c r="C113" t="s">
        <v>837</v>
      </c>
      <c r="D113" t="s">
        <v>838</v>
      </c>
      <c r="E113" t="s">
        <v>885</v>
      </c>
      <c r="F113" s="34">
        <v>6</v>
      </c>
      <c r="G113" s="55">
        <f t="shared" si="56"/>
        <v>0</v>
      </c>
      <c r="H113" s="36">
        <f t="shared" si="57"/>
        <v>17016</v>
      </c>
      <c r="I113" s="37">
        <v>3600</v>
      </c>
      <c r="J113" s="140">
        <v>2</v>
      </c>
      <c r="K113" t="s">
        <v>759</v>
      </c>
      <c r="L113" s="24">
        <v>1</v>
      </c>
      <c r="M113" s="45"/>
      <c r="N113" s="58">
        <f>INDEX(Inventory!E:E,MATCH(K113, Inventory!A:A),1)</f>
        <v>2836</v>
      </c>
      <c r="O113" s="48">
        <f t="shared" si="58"/>
        <v>600</v>
      </c>
      <c r="P113" s="41">
        <f t="shared" si="59"/>
        <v>4.7266666666666666</v>
      </c>
      <c r="Q113" s="41" cm="1">
        <f t="array" ref="Q113">MAX(IF($A:$A=$A113, $P:$P))</f>
        <v>7.1854166666666668</v>
      </c>
      <c r="R113" s="113" t="s">
        <v>209</v>
      </c>
      <c r="S113" s="116">
        <v>2</v>
      </c>
      <c r="T113" s="117"/>
      <c r="U113" s="58">
        <f>IF(S113 &gt; 0,INDEX(Inventory!E:E,MATCH(R113, Inventory!A:A),1), "")</f>
        <v>9872</v>
      </c>
      <c r="V113" s="48">
        <f t="shared" si="60"/>
        <v>1200</v>
      </c>
      <c r="W113" s="41">
        <f t="shared" si="61"/>
        <v>8.2266666666666666</v>
      </c>
      <c r="Z113" s="38"/>
      <c r="AA113" s="58" t="str">
        <f>IF(Y113&gt;0, INDEX(Inventory!E:E,MATCH(X113, Inventory!A:A),1), "")</f>
        <v/>
      </c>
      <c r="AB113" s="49">
        <f t="shared" si="62"/>
        <v>0</v>
      </c>
      <c r="AC113" s="41">
        <f t="shared" si="63"/>
        <v>0</v>
      </c>
      <c r="AD113" s="114">
        <f t="shared" si="64"/>
        <v>0</v>
      </c>
      <c r="AE113" s="7">
        <f t="shared" si="65"/>
        <v>0</v>
      </c>
      <c r="AF113" s="7">
        <f t="shared" si="66"/>
        <v>0</v>
      </c>
      <c r="AG113" s="43">
        <f t="shared" si="67"/>
        <v>0</v>
      </c>
      <c r="AH113" s="43">
        <f t="shared" si="68"/>
        <v>17016</v>
      </c>
      <c r="AI113" s="43">
        <f t="shared" si="69"/>
        <v>0</v>
      </c>
    </row>
    <row r="114" spans="1:35" x14ac:dyDescent="0.25">
      <c r="A114" s="113" t="s">
        <v>759</v>
      </c>
      <c r="C114" t="s">
        <v>837</v>
      </c>
      <c r="D114" t="s">
        <v>838</v>
      </c>
      <c r="E114" t="s">
        <v>885</v>
      </c>
      <c r="F114" s="34">
        <v>2</v>
      </c>
      <c r="G114" s="55">
        <f t="shared" si="56"/>
        <v>0</v>
      </c>
      <c r="H114" s="36">
        <f t="shared" si="57"/>
        <v>600</v>
      </c>
      <c r="I114" s="37">
        <v>3600</v>
      </c>
      <c r="J114" s="140">
        <v>2</v>
      </c>
      <c r="K114" t="s">
        <v>768</v>
      </c>
      <c r="L114" s="24">
        <v>1</v>
      </c>
      <c r="M114" s="45"/>
      <c r="N114" s="58">
        <f>INDEX(Inventory!E:E,MATCH(K114, Inventory!A:A),1)</f>
        <v>300</v>
      </c>
      <c r="O114" s="48">
        <f t="shared" si="58"/>
        <v>1800</v>
      </c>
      <c r="P114" s="41">
        <f t="shared" si="59"/>
        <v>0.16666666666666666</v>
      </c>
      <c r="Q114" s="41" cm="1">
        <f t="array" ref="Q114">MAX(IF($A:$A=$A114, $P:$P))</f>
        <v>7.1854166666666668</v>
      </c>
      <c r="R114" s="113" t="s">
        <v>209</v>
      </c>
      <c r="S114" s="116">
        <v>1</v>
      </c>
      <c r="T114" s="117"/>
      <c r="U114" s="58">
        <f>IF(S114 &gt; 0,INDEX(Inventory!E:E,MATCH(R114, Inventory!A:A),1), "")</f>
        <v>9872</v>
      </c>
      <c r="V114" s="48">
        <f t="shared" si="60"/>
        <v>1800</v>
      </c>
      <c r="W114" s="41">
        <f t="shared" si="61"/>
        <v>5.4844444444444447</v>
      </c>
      <c r="Z114" s="38"/>
      <c r="AA114" s="58" t="str">
        <f>IF(Y114&gt;0, INDEX(Inventory!E:E,MATCH(X114, Inventory!A:A),1), "")</f>
        <v/>
      </c>
      <c r="AB114" s="49">
        <f t="shared" si="62"/>
        <v>0</v>
      </c>
      <c r="AC114" s="41">
        <f t="shared" si="63"/>
        <v>0</v>
      </c>
      <c r="AD114" s="114">
        <f t="shared" si="64"/>
        <v>0</v>
      </c>
      <c r="AE114" s="7">
        <f t="shared" si="65"/>
        <v>0</v>
      </c>
      <c r="AF114" s="7">
        <f t="shared" si="66"/>
        <v>0</v>
      </c>
      <c r="AG114" s="43">
        <f t="shared" si="67"/>
        <v>0</v>
      </c>
      <c r="AH114" s="43">
        <f t="shared" si="68"/>
        <v>600</v>
      </c>
      <c r="AI114" s="43">
        <f t="shared" si="69"/>
        <v>0</v>
      </c>
    </row>
    <row r="115" spans="1:35" x14ac:dyDescent="0.25">
      <c r="A115" s="113" t="s">
        <v>759</v>
      </c>
      <c r="C115" t="s">
        <v>837</v>
      </c>
      <c r="D115" t="s">
        <v>838</v>
      </c>
      <c r="E115" t="s">
        <v>885</v>
      </c>
      <c r="F115" s="34">
        <v>2</v>
      </c>
      <c r="G115" s="55">
        <f t="shared" si="56"/>
        <v>0</v>
      </c>
      <c r="H115" s="36">
        <f t="shared" si="57"/>
        <v>600</v>
      </c>
      <c r="I115" s="37">
        <v>3600</v>
      </c>
      <c r="J115" s="140">
        <v>2</v>
      </c>
      <c r="K115" t="s">
        <v>768</v>
      </c>
      <c r="L115" s="24">
        <v>1</v>
      </c>
      <c r="M115" s="45"/>
      <c r="N115" s="58">
        <f>INDEX(Inventory!E:E,MATCH(K115, Inventory!A:A),1)</f>
        <v>300</v>
      </c>
      <c r="O115" s="48">
        <f t="shared" si="58"/>
        <v>1800</v>
      </c>
      <c r="P115" s="41">
        <f t="shared" si="59"/>
        <v>0.16666666666666666</v>
      </c>
      <c r="Q115" s="41" cm="1">
        <f t="array" ref="Q115">MAX(IF($A:$A=$A115, $P:$P))</f>
        <v>7.1854166666666668</v>
      </c>
      <c r="R115" s="113" t="s">
        <v>777</v>
      </c>
      <c r="S115" s="116">
        <v>1</v>
      </c>
      <c r="T115" s="117"/>
      <c r="U115" s="58">
        <f>IF(S115 &gt; 0,INDEX(Inventory!E:E,MATCH(R115, Inventory!A:A),1), "")</f>
        <v>4839</v>
      </c>
      <c r="V115" s="48">
        <f t="shared" si="60"/>
        <v>1800</v>
      </c>
      <c r="W115" s="41">
        <f t="shared" si="61"/>
        <v>2.6883333333333335</v>
      </c>
      <c r="Z115" s="38"/>
      <c r="AA115" s="58" t="str">
        <f>IF(Y115&gt;0, INDEX(Inventory!E:E,MATCH(X115, Inventory!A:A),1), "")</f>
        <v/>
      </c>
      <c r="AB115" s="49">
        <f t="shared" si="62"/>
        <v>0</v>
      </c>
      <c r="AC115" s="41">
        <f t="shared" si="63"/>
        <v>0</v>
      </c>
      <c r="AD115" s="114">
        <f t="shared" si="64"/>
        <v>0</v>
      </c>
      <c r="AE115" s="7">
        <f t="shared" si="65"/>
        <v>0</v>
      </c>
      <c r="AF115" s="7">
        <f t="shared" si="66"/>
        <v>0</v>
      </c>
      <c r="AG115" s="43">
        <f t="shared" si="67"/>
        <v>0</v>
      </c>
      <c r="AH115" s="43">
        <f t="shared" si="68"/>
        <v>600</v>
      </c>
      <c r="AI115" s="43">
        <f t="shared" si="69"/>
        <v>0</v>
      </c>
    </row>
    <row r="116" spans="1:35" x14ac:dyDescent="0.25">
      <c r="A116" s="113" t="s">
        <v>759</v>
      </c>
      <c r="C116" t="s">
        <v>837</v>
      </c>
      <c r="D116" t="s">
        <v>838</v>
      </c>
      <c r="F116" s="34">
        <v>1</v>
      </c>
      <c r="G116" s="54">
        <f t="shared" si="56"/>
        <v>0</v>
      </c>
      <c r="H116" s="36">
        <f t="shared" si="57"/>
        <v>5173</v>
      </c>
      <c r="I116" s="51"/>
      <c r="J116" s="140">
        <v>1</v>
      </c>
      <c r="K116" t="s">
        <v>186</v>
      </c>
      <c r="L116" s="24">
        <v>2</v>
      </c>
      <c r="M116" s="38"/>
      <c r="N116" s="56">
        <f>INDEX(Inventory!E:E,MATCH(K116, Inventory!A:A),1)</f>
        <v>10347</v>
      </c>
      <c r="O116" s="40">
        <f t="shared" si="58"/>
        <v>0</v>
      </c>
      <c r="P116" s="41">
        <f t="shared" si="59"/>
        <v>0</v>
      </c>
      <c r="Q116" s="41" cm="1">
        <f t="array" ref="Q116">MAX(IF($A:$A=$A116, $P:$P))</f>
        <v>7.1854166666666668</v>
      </c>
      <c r="R116" s="113"/>
      <c r="S116" s="116"/>
      <c r="T116" s="117"/>
      <c r="U116" s="56" t="str">
        <f>IF(S116 &gt; 0,INDEX(Inventory!E:E,MATCH(R116, Inventory!A:A),1), "")</f>
        <v/>
      </c>
      <c r="V116" s="40">
        <f t="shared" si="60"/>
        <v>0</v>
      </c>
      <c r="W116" s="41">
        <f t="shared" si="61"/>
        <v>0</v>
      </c>
      <c r="Z116" s="38"/>
      <c r="AA116" s="56" t="str">
        <f>IF(Y116&gt;0, INDEX(Inventory!E:E,MATCH(X116, Inventory!A:A),1), "")</f>
        <v/>
      </c>
      <c r="AB116" s="42">
        <f t="shared" si="62"/>
        <v>0</v>
      </c>
      <c r="AC116" s="41">
        <f t="shared" si="63"/>
        <v>0</v>
      </c>
      <c r="AD116" s="114">
        <f t="shared" si="64"/>
        <v>0</v>
      </c>
      <c r="AE116" s="7">
        <f t="shared" si="65"/>
        <v>0</v>
      </c>
      <c r="AF116" s="7">
        <f t="shared" si="66"/>
        <v>0</v>
      </c>
      <c r="AG116" s="43">
        <f t="shared" si="67"/>
        <v>5173.5</v>
      </c>
      <c r="AH116" s="43">
        <f t="shared" si="68"/>
        <v>0</v>
      </c>
      <c r="AI116" s="43">
        <f t="shared" si="69"/>
        <v>0</v>
      </c>
    </row>
    <row r="117" spans="1:35" x14ac:dyDescent="0.25">
      <c r="A117" s="113" t="s">
        <v>761</v>
      </c>
      <c r="D117" t="s">
        <v>838</v>
      </c>
      <c r="F117" s="34">
        <v>1</v>
      </c>
      <c r="G117" s="54">
        <f t="shared" si="56"/>
        <v>0</v>
      </c>
      <c r="H117" s="36">
        <f t="shared" si="57"/>
        <v>1819</v>
      </c>
      <c r="I117" s="37">
        <v>1800</v>
      </c>
      <c r="J117" s="140">
        <v>2</v>
      </c>
      <c r="K117" t="s">
        <v>195</v>
      </c>
      <c r="L117" s="24">
        <v>1</v>
      </c>
      <c r="M117" s="38"/>
      <c r="N117" s="56">
        <f>INDEX(Inventory!E:E,MATCH(K117, Inventory!A:A),1)</f>
        <v>15125</v>
      </c>
      <c r="O117" s="40">
        <f t="shared" si="58"/>
        <v>1800</v>
      </c>
      <c r="P117" s="41">
        <f t="shared" si="59"/>
        <v>8.4027777777777786</v>
      </c>
      <c r="Q117" s="41" cm="1">
        <f t="array" ref="Q117">MAX(IF($A:$A=$A117, $P:$P))</f>
        <v>8.4027777777777786</v>
      </c>
      <c r="R117" s="113" t="s">
        <v>323</v>
      </c>
      <c r="S117" s="116">
        <v>1</v>
      </c>
      <c r="T117" s="117"/>
      <c r="U117" s="56">
        <f>IF(S117 &gt; 0,INDEX(Inventory!E:E,MATCH(R117, Inventory!A:A),1), "")</f>
        <v>1819</v>
      </c>
      <c r="V117" s="40">
        <f t="shared" si="60"/>
        <v>1800</v>
      </c>
      <c r="W117" s="41">
        <f t="shared" si="61"/>
        <v>1.0105555555555557</v>
      </c>
      <c r="Z117" s="38"/>
      <c r="AA117" s="56" t="str">
        <f>IF(Y117&gt;0, INDEX(Inventory!E:E,MATCH(X117, Inventory!A:A),1), "")</f>
        <v/>
      </c>
      <c r="AB117" s="42">
        <f t="shared" si="62"/>
        <v>0</v>
      </c>
      <c r="AC117" s="41">
        <f t="shared" si="63"/>
        <v>0</v>
      </c>
      <c r="AD117" s="114">
        <f t="shared" si="64"/>
        <v>0</v>
      </c>
      <c r="AE117" s="7">
        <f t="shared" si="65"/>
        <v>0</v>
      </c>
      <c r="AF117" s="7">
        <f t="shared" si="66"/>
        <v>0</v>
      </c>
      <c r="AG117" s="43">
        <f t="shared" si="67"/>
        <v>0</v>
      </c>
      <c r="AH117" s="43">
        <f t="shared" si="68"/>
        <v>1819</v>
      </c>
      <c r="AI117" s="43">
        <f t="shared" si="69"/>
        <v>0</v>
      </c>
    </row>
    <row r="118" spans="1:35" x14ac:dyDescent="0.25">
      <c r="A118" s="113" t="s">
        <v>886</v>
      </c>
      <c r="B118" s="113" t="s">
        <v>887</v>
      </c>
      <c r="C118" t="s">
        <v>836</v>
      </c>
      <c r="D118" t="s">
        <v>833</v>
      </c>
      <c r="F118" s="34">
        <v>1</v>
      </c>
      <c r="G118" s="35">
        <f t="shared" si="56"/>
        <v>0</v>
      </c>
      <c r="H118" s="36">
        <f t="shared" si="57"/>
        <v>20538</v>
      </c>
      <c r="I118" s="37"/>
      <c r="J118" s="140">
        <v>1</v>
      </c>
      <c r="K118" t="s">
        <v>196</v>
      </c>
      <c r="L118" s="24">
        <v>30</v>
      </c>
      <c r="M118" s="45"/>
      <c r="N118" s="39">
        <f>INDEX(Inventory!E:E,MATCH(K118, Inventory!A:A),1)</f>
        <v>616165</v>
      </c>
      <c r="O118" s="40">
        <f t="shared" si="58"/>
        <v>0</v>
      </c>
      <c r="P118" s="41">
        <f t="shared" si="59"/>
        <v>0</v>
      </c>
      <c r="Q118" s="41" cm="1">
        <f t="array" ref="Q118">MAX(IF($A:$A=$A118, $P:$P))</f>
        <v>0</v>
      </c>
      <c r="R118" s="113"/>
      <c r="S118" s="116"/>
      <c r="T118" s="117"/>
      <c r="U118" s="39" t="str">
        <f>IF(S118 &gt; 0,INDEX(Inventory!E:E,MATCH(R118, Inventory!A:A),1), "")</f>
        <v/>
      </c>
      <c r="V118" s="40">
        <f t="shared" si="60"/>
        <v>0</v>
      </c>
      <c r="W118" s="41">
        <f t="shared" si="61"/>
        <v>0</v>
      </c>
      <c r="Z118" s="38"/>
      <c r="AA118" s="39" t="str">
        <f>IF(Y118&gt;0, INDEX(Inventory!E:E,MATCH(X118, Inventory!A:A),1), "")</f>
        <v/>
      </c>
      <c r="AB118" s="42">
        <f t="shared" si="62"/>
        <v>0</v>
      </c>
      <c r="AC118" s="41">
        <f t="shared" si="63"/>
        <v>0</v>
      </c>
      <c r="AD118" s="114">
        <f t="shared" si="64"/>
        <v>0</v>
      </c>
      <c r="AE118" s="7">
        <f t="shared" si="65"/>
        <v>0</v>
      </c>
      <c r="AF118" s="7">
        <f t="shared" si="66"/>
        <v>0</v>
      </c>
      <c r="AG118" s="43">
        <f t="shared" si="67"/>
        <v>20538.833333333332</v>
      </c>
      <c r="AH118" s="43">
        <f t="shared" si="68"/>
        <v>0</v>
      </c>
      <c r="AI118" s="43">
        <f t="shared" si="69"/>
        <v>0</v>
      </c>
    </row>
    <row r="119" spans="1:35" x14ac:dyDescent="0.25">
      <c r="A119" s="113" t="s">
        <v>762</v>
      </c>
      <c r="C119" t="s">
        <v>837</v>
      </c>
      <c r="D119" t="s">
        <v>833</v>
      </c>
      <c r="F119" s="34">
        <v>1</v>
      </c>
      <c r="G119" s="35">
        <f t="shared" si="56"/>
        <v>0</v>
      </c>
      <c r="H119" s="36">
        <f t="shared" si="57"/>
        <v>13</v>
      </c>
      <c r="I119" s="37"/>
      <c r="J119" s="140">
        <v>2</v>
      </c>
      <c r="K119" t="s">
        <v>795</v>
      </c>
      <c r="L119" s="24">
        <v>50</v>
      </c>
      <c r="M119" s="38"/>
      <c r="N119" s="39">
        <f>INDEX(Inventory!E:E,MATCH(K119, Inventory!A:A),1)</f>
        <v>2362</v>
      </c>
      <c r="O119" s="40">
        <f t="shared" si="58"/>
        <v>0</v>
      </c>
      <c r="P119" s="41">
        <f t="shared" si="59"/>
        <v>0</v>
      </c>
      <c r="Q119" s="41" cm="1">
        <f t="array" ref="Q119">MAX(IF($A:$A=$A119, $P:$P))</f>
        <v>0</v>
      </c>
      <c r="R119" s="113" t="s">
        <v>778</v>
      </c>
      <c r="S119" s="116">
        <v>100</v>
      </c>
      <c r="T119" s="117"/>
      <c r="U119" s="39">
        <f>IF(S119 &gt; 0,INDEX(Inventory!E:E,MATCH(R119, Inventory!A:A),1), "")</f>
        <v>1356</v>
      </c>
      <c r="V119" s="40">
        <f t="shared" si="60"/>
        <v>0</v>
      </c>
      <c r="W119" s="41">
        <f t="shared" si="61"/>
        <v>0</v>
      </c>
      <c r="Z119" s="38"/>
      <c r="AA119" s="39" t="str">
        <f>IF(Y119&gt;0, INDEX(Inventory!E:E,MATCH(X119, Inventory!A:A),1), "")</f>
        <v/>
      </c>
      <c r="AB119" s="42">
        <f t="shared" si="62"/>
        <v>0</v>
      </c>
      <c r="AC119" s="41">
        <f t="shared" si="63"/>
        <v>0</v>
      </c>
      <c r="AD119" s="114">
        <f t="shared" si="64"/>
        <v>0</v>
      </c>
      <c r="AE119" s="7">
        <f t="shared" si="65"/>
        <v>0</v>
      </c>
      <c r="AF119" s="7">
        <f t="shared" si="66"/>
        <v>0</v>
      </c>
      <c r="AG119" s="43">
        <f t="shared" si="67"/>
        <v>0</v>
      </c>
      <c r="AH119" s="43">
        <f t="shared" si="68"/>
        <v>13.56</v>
      </c>
      <c r="AI119" s="43">
        <f t="shared" si="69"/>
        <v>0</v>
      </c>
    </row>
    <row r="120" spans="1:35" x14ac:dyDescent="0.25">
      <c r="A120" s="113" t="s">
        <v>763</v>
      </c>
      <c r="D120" t="s">
        <v>833</v>
      </c>
      <c r="E120" t="s">
        <v>776</v>
      </c>
      <c r="F120" s="34">
        <v>1</v>
      </c>
      <c r="G120" s="54">
        <f t="shared" si="56"/>
        <v>0</v>
      </c>
      <c r="H120" s="36">
        <f t="shared" si="57"/>
        <v>1</v>
      </c>
      <c r="I120" s="37"/>
      <c r="J120" s="140">
        <v>2</v>
      </c>
      <c r="K120" t="s">
        <v>712</v>
      </c>
      <c r="L120" s="24">
        <v>1</v>
      </c>
      <c r="M120" s="38"/>
      <c r="N120" s="56">
        <f>INDEX(Inventory!E:E,MATCH(K120, Inventory!A:A),1)</f>
        <v>1</v>
      </c>
      <c r="O120" s="40">
        <f t="shared" si="58"/>
        <v>0</v>
      </c>
      <c r="P120" s="41">
        <f t="shared" si="59"/>
        <v>0</v>
      </c>
      <c r="Q120" s="41" cm="1">
        <f t="array" ref="Q120">MAX(IF($A:$A=$A120, $P:$P))</f>
        <v>0</v>
      </c>
      <c r="R120" s="113" t="s">
        <v>793</v>
      </c>
      <c r="S120" s="116">
        <v>1</v>
      </c>
      <c r="T120" s="117"/>
      <c r="U120" s="56">
        <f>IF(S120 &gt; 0,INDEX(Inventory!E:E,MATCH(R120, Inventory!A:A),1), "")</f>
        <v>22</v>
      </c>
      <c r="V120" s="40">
        <f t="shared" si="60"/>
        <v>0</v>
      </c>
      <c r="W120" s="41">
        <f t="shared" si="61"/>
        <v>0</v>
      </c>
      <c r="Z120" s="38"/>
      <c r="AA120" s="56" t="str">
        <f>IF(Y120&gt;0, INDEX(Inventory!E:E,MATCH(X120, Inventory!A:A),1), "")</f>
        <v/>
      </c>
      <c r="AB120" s="42">
        <f t="shared" si="62"/>
        <v>0</v>
      </c>
      <c r="AC120" s="41">
        <f t="shared" si="63"/>
        <v>0</v>
      </c>
      <c r="AD120" s="114">
        <f t="shared" si="64"/>
        <v>0</v>
      </c>
      <c r="AE120" s="7">
        <f t="shared" si="65"/>
        <v>0</v>
      </c>
      <c r="AF120" s="7">
        <f t="shared" si="66"/>
        <v>0</v>
      </c>
      <c r="AG120" s="43">
        <f t="shared" si="67"/>
        <v>0</v>
      </c>
      <c r="AH120" s="43">
        <f t="shared" si="68"/>
        <v>1</v>
      </c>
      <c r="AI120" s="43">
        <f t="shared" si="69"/>
        <v>0</v>
      </c>
    </row>
    <row r="121" spans="1:35" x14ac:dyDescent="0.25">
      <c r="A121" s="113" t="s">
        <v>764</v>
      </c>
      <c r="D121" t="s">
        <v>833</v>
      </c>
      <c r="F121" s="34">
        <v>1</v>
      </c>
      <c r="G121" s="54">
        <f t="shared" si="56"/>
        <v>0</v>
      </c>
      <c r="H121" s="36">
        <f t="shared" si="57"/>
        <v>0</v>
      </c>
      <c r="I121" s="37"/>
      <c r="J121" s="140">
        <v>2</v>
      </c>
      <c r="K121" t="s">
        <v>766</v>
      </c>
      <c r="L121" s="24">
        <v>1</v>
      </c>
      <c r="M121" s="38"/>
      <c r="N121" s="56">
        <f>INDEX(Inventory!E:E,MATCH(K121, Inventory!A:A),1)</f>
        <v>0</v>
      </c>
      <c r="O121" s="40">
        <f t="shared" si="58"/>
        <v>0</v>
      </c>
      <c r="P121" s="41">
        <f t="shared" si="59"/>
        <v>0</v>
      </c>
      <c r="Q121" s="41" cm="1">
        <f t="array" ref="Q121">MAX(IF($A:$A=$A121, $P:$P))</f>
        <v>0</v>
      </c>
      <c r="R121" s="113" t="s">
        <v>751</v>
      </c>
      <c r="S121" s="116">
        <v>5</v>
      </c>
      <c r="T121" s="117"/>
      <c r="U121" s="56">
        <f>IF(S121 &gt; 0,INDEX(Inventory!E:E,MATCH(R121, Inventory!A:A),1), "")</f>
        <v>974</v>
      </c>
      <c r="V121" s="40">
        <f t="shared" si="60"/>
        <v>0</v>
      </c>
      <c r="W121" s="41">
        <f t="shared" si="61"/>
        <v>0</v>
      </c>
      <c r="Z121" s="38"/>
      <c r="AA121" s="56" t="str">
        <f>IF(Y121&gt;0, INDEX(Inventory!E:E,MATCH(X121, Inventory!A:A),1), "")</f>
        <v/>
      </c>
      <c r="AB121" s="42">
        <f t="shared" si="62"/>
        <v>0</v>
      </c>
      <c r="AC121" s="41">
        <f t="shared" si="63"/>
        <v>0</v>
      </c>
      <c r="AD121" s="114">
        <f t="shared" si="64"/>
        <v>0</v>
      </c>
      <c r="AE121" s="7">
        <f t="shared" si="65"/>
        <v>0</v>
      </c>
      <c r="AF121" s="7">
        <f t="shared" si="66"/>
        <v>0</v>
      </c>
      <c r="AG121" s="43">
        <f t="shared" si="67"/>
        <v>0</v>
      </c>
      <c r="AH121" s="43">
        <f t="shared" si="68"/>
        <v>0</v>
      </c>
      <c r="AI121" s="43">
        <f t="shared" si="69"/>
        <v>0</v>
      </c>
    </row>
    <row r="122" spans="1:35" x14ac:dyDescent="0.25">
      <c r="A122" s="113" t="s">
        <v>766</v>
      </c>
      <c r="D122" t="s">
        <v>833</v>
      </c>
      <c r="E122" t="s">
        <v>764</v>
      </c>
      <c r="F122" s="34">
        <v>1</v>
      </c>
      <c r="G122" s="54">
        <f t="shared" si="56"/>
        <v>0</v>
      </c>
      <c r="H122" s="36">
        <f t="shared" si="57"/>
        <v>38</v>
      </c>
      <c r="I122" s="37"/>
      <c r="J122" s="140">
        <v>2</v>
      </c>
      <c r="K122" t="s">
        <v>740</v>
      </c>
      <c r="L122" s="24">
        <v>50</v>
      </c>
      <c r="M122" s="38"/>
      <c r="N122" s="56">
        <f>INDEX(Inventory!E:E,MATCH(K122, Inventory!A:A),1)</f>
        <v>65932</v>
      </c>
      <c r="O122" s="40">
        <f t="shared" si="58"/>
        <v>0</v>
      </c>
      <c r="P122" s="41">
        <f t="shared" si="59"/>
        <v>0</v>
      </c>
      <c r="Q122" s="41" cm="1">
        <f t="array" ref="Q122">MAX(IF($A:$A=$A122, $P:$P))</f>
        <v>0</v>
      </c>
      <c r="R122" s="113" t="s">
        <v>749</v>
      </c>
      <c r="S122" s="116">
        <v>400</v>
      </c>
      <c r="T122" s="117"/>
      <c r="U122" s="56">
        <f>IF(S122 &gt; 0,INDEX(Inventory!E:E,MATCH(R122, Inventory!A:A),1), "")</f>
        <v>15499</v>
      </c>
      <c r="V122" s="40">
        <f t="shared" si="60"/>
        <v>0</v>
      </c>
      <c r="W122" s="41">
        <f t="shared" si="61"/>
        <v>0</v>
      </c>
      <c r="Z122" s="38"/>
      <c r="AA122" s="56" t="str">
        <f>IF(Y122&gt;0, INDEX(Inventory!E:E,MATCH(X122, Inventory!A:A),1), "")</f>
        <v/>
      </c>
      <c r="AB122" s="42">
        <f t="shared" si="62"/>
        <v>0</v>
      </c>
      <c r="AC122" s="41">
        <f t="shared" si="63"/>
        <v>0</v>
      </c>
      <c r="AD122" s="114">
        <f t="shared" si="64"/>
        <v>0</v>
      </c>
      <c r="AE122" s="7">
        <f t="shared" si="65"/>
        <v>0</v>
      </c>
      <c r="AF122" s="7">
        <f t="shared" si="66"/>
        <v>0</v>
      </c>
      <c r="AG122" s="43">
        <f t="shared" si="67"/>
        <v>0</v>
      </c>
      <c r="AH122" s="43">
        <f t="shared" si="68"/>
        <v>38.747500000000002</v>
      </c>
      <c r="AI122" s="43">
        <f t="shared" si="69"/>
        <v>0</v>
      </c>
    </row>
    <row r="123" spans="1:35" x14ac:dyDescent="0.25">
      <c r="A123" s="113" t="s">
        <v>768</v>
      </c>
      <c r="C123" t="s">
        <v>845</v>
      </c>
      <c r="D123" t="s">
        <v>838</v>
      </c>
      <c r="E123" t="s">
        <v>759</v>
      </c>
      <c r="F123" s="46">
        <v>1</v>
      </c>
      <c r="G123" s="57">
        <f t="shared" si="56"/>
        <v>0</v>
      </c>
      <c r="H123" s="36">
        <f t="shared" si="57"/>
        <v>1819</v>
      </c>
      <c r="I123" s="51">
        <v>3600</v>
      </c>
      <c r="J123" s="140">
        <v>2</v>
      </c>
      <c r="K123" t="s">
        <v>186</v>
      </c>
      <c r="L123" s="24">
        <v>1</v>
      </c>
      <c r="M123" s="45"/>
      <c r="N123" s="56">
        <f>INDEX(Inventory!E:E,MATCH(K123, Inventory!A:A),1)</f>
        <v>10347</v>
      </c>
      <c r="O123" s="48">
        <f t="shared" si="58"/>
        <v>3600</v>
      </c>
      <c r="P123" s="41">
        <f t="shared" si="59"/>
        <v>2.8741666666666665</v>
      </c>
      <c r="Q123" s="41" cm="1">
        <f t="array" ref="Q123">MAX(IF($A:$A=$A123, $P:$P))</f>
        <v>14.367777777777778</v>
      </c>
      <c r="R123" s="113" t="s">
        <v>323</v>
      </c>
      <c r="S123" s="116">
        <v>1</v>
      </c>
      <c r="T123" s="117"/>
      <c r="U123" s="56">
        <f>IF(S123 &gt; 0,INDEX(Inventory!E:E,MATCH(R123, Inventory!A:A),1), "")</f>
        <v>1819</v>
      </c>
      <c r="V123" s="40">
        <f t="shared" si="60"/>
        <v>3600</v>
      </c>
      <c r="W123" s="41">
        <f t="shared" si="61"/>
        <v>0.50527777777777783</v>
      </c>
      <c r="Z123" s="38"/>
      <c r="AA123" s="56" t="str">
        <f>IF(Y123&gt;0, INDEX(Inventory!E:E,MATCH(X123, Inventory!A:A),1), "")</f>
        <v/>
      </c>
      <c r="AB123" s="42">
        <f t="shared" si="62"/>
        <v>0</v>
      </c>
      <c r="AC123" s="41">
        <f t="shared" si="63"/>
        <v>0</v>
      </c>
      <c r="AD123" s="114">
        <f t="shared" si="64"/>
        <v>0</v>
      </c>
      <c r="AE123" s="7">
        <f t="shared" si="65"/>
        <v>0</v>
      </c>
      <c r="AF123" s="7">
        <f t="shared" si="66"/>
        <v>0</v>
      </c>
      <c r="AG123" s="43">
        <f t="shared" si="67"/>
        <v>0</v>
      </c>
      <c r="AH123" s="43">
        <f t="shared" si="68"/>
        <v>1819</v>
      </c>
      <c r="AI123" s="43">
        <f t="shared" si="69"/>
        <v>0</v>
      </c>
    </row>
    <row r="124" spans="1:35" x14ac:dyDescent="0.25">
      <c r="A124" s="113" t="s">
        <v>768</v>
      </c>
      <c r="C124" t="s">
        <v>845</v>
      </c>
      <c r="D124" t="s">
        <v>838</v>
      </c>
      <c r="E124" t="s">
        <v>759</v>
      </c>
      <c r="F124" s="46">
        <v>3</v>
      </c>
      <c r="G124" s="47">
        <f t="shared" si="56"/>
        <v>0</v>
      </c>
      <c r="H124" s="36">
        <f t="shared" si="57"/>
        <v>17575</v>
      </c>
      <c r="I124" s="51">
        <v>3600</v>
      </c>
      <c r="J124" s="140">
        <v>2</v>
      </c>
      <c r="K124" t="s">
        <v>771</v>
      </c>
      <c r="L124" s="24">
        <v>1</v>
      </c>
      <c r="M124" s="45"/>
      <c r="N124" s="56">
        <f>INDEX(Inventory!E:E,MATCH(K124, Inventory!A:A),1)</f>
        <v>12931</v>
      </c>
      <c r="O124" s="48">
        <f t="shared" si="58"/>
        <v>1200</v>
      </c>
      <c r="P124" s="41">
        <f t="shared" si="59"/>
        <v>10.775833333333333</v>
      </c>
      <c r="Q124" s="41" cm="1">
        <f t="array" ref="Q124">MAX(IF($A:$A=$A124, $P:$P))</f>
        <v>14.367777777777778</v>
      </c>
      <c r="R124" s="113" t="s">
        <v>197</v>
      </c>
      <c r="S124" s="116">
        <v>2</v>
      </c>
      <c r="T124" s="117"/>
      <c r="U124" s="56">
        <f>IF(S124 &gt; 0,INDEX(Inventory!E:E,MATCH(R124, Inventory!A:A),1), "")</f>
        <v>11717</v>
      </c>
      <c r="V124" s="40">
        <f t="shared" si="60"/>
        <v>2400</v>
      </c>
      <c r="W124" s="41">
        <f t="shared" si="61"/>
        <v>4.8820833333333331</v>
      </c>
      <c r="Z124" s="38"/>
      <c r="AA124" s="39" t="str">
        <f>IF(Y124&gt;0, INDEX(Inventory!E:E,MATCH(X124, Inventory!A:A),1), "")</f>
        <v/>
      </c>
      <c r="AB124" s="42">
        <f t="shared" si="62"/>
        <v>0</v>
      </c>
      <c r="AC124" s="41">
        <f t="shared" si="63"/>
        <v>0</v>
      </c>
      <c r="AD124" s="114">
        <f t="shared" si="64"/>
        <v>0</v>
      </c>
      <c r="AE124" s="7">
        <f t="shared" si="65"/>
        <v>0</v>
      </c>
      <c r="AF124" s="7">
        <f t="shared" si="66"/>
        <v>0</v>
      </c>
      <c r="AG124" s="43">
        <f t="shared" si="67"/>
        <v>0</v>
      </c>
      <c r="AH124" s="43">
        <f t="shared" si="68"/>
        <v>17575.5</v>
      </c>
      <c r="AI124" s="43">
        <f t="shared" si="69"/>
        <v>0</v>
      </c>
    </row>
    <row r="125" spans="1:35" x14ac:dyDescent="0.25">
      <c r="A125" s="113" t="s">
        <v>768</v>
      </c>
      <c r="C125" t="s">
        <v>845</v>
      </c>
      <c r="D125" t="s">
        <v>838</v>
      </c>
      <c r="E125" t="s">
        <v>759</v>
      </c>
      <c r="F125" s="46">
        <v>4</v>
      </c>
      <c r="G125" s="47">
        <f t="shared" si="56"/>
        <v>0</v>
      </c>
      <c r="H125" s="36">
        <f t="shared" si="57"/>
        <v>3520</v>
      </c>
      <c r="I125" s="51">
        <v>3600</v>
      </c>
      <c r="J125" s="140">
        <v>2</v>
      </c>
      <c r="K125" t="s">
        <v>771</v>
      </c>
      <c r="L125" s="24">
        <v>1</v>
      </c>
      <c r="M125" s="45"/>
      <c r="N125" s="56">
        <f>INDEX(Inventory!E:E,MATCH(K125, Inventory!A:A),1)</f>
        <v>12931</v>
      </c>
      <c r="O125" s="48">
        <f t="shared" si="58"/>
        <v>900</v>
      </c>
      <c r="P125" s="41">
        <f t="shared" si="59"/>
        <v>14.367777777777778</v>
      </c>
      <c r="Q125" s="41" cm="1">
        <f t="array" ref="Q125">MAX(IF($A:$A=$A125, $P:$P))</f>
        <v>14.367777777777778</v>
      </c>
      <c r="R125" s="113" t="s">
        <v>784</v>
      </c>
      <c r="S125" s="116">
        <v>1</v>
      </c>
      <c r="T125" s="117"/>
      <c r="U125" s="56">
        <f>IF(S125 &gt; 0,INDEX(Inventory!E:E,MATCH(R125, Inventory!A:A),1), "")</f>
        <v>880</v>
      </c>
      <c r="V125" s="40">
        <f t="shared" si="60"/>
        <v>900</v>
      </c>
      <c r="W125" s="41">
        <f t="shared" si="61"/>
        <v>0.97777777777777775</v>
      </c>
      <c r="Z125" s="38"/>
      <c r="AA125" s="39" t="str">
        <f>IF(Y125&gt;0, INDEX(Inventory!E:E,MATCH(X125, Inventory!A:A),1), "")</f>
        <v/>
      </c>
      <c r="AB125" s="42">
        <f t="shared" si="62"/>
        <v>0</v>
      </c>
      <c r="AC125" s="41">
        <f t="shared" si="63"/>
        <v>0</v>
      </c>
      <c r="AD125" s="114">
        <f t="shared" si="64"/>
        <v>0</v>
      </c>
      <c r="AE125" s="7">
        <f t="shared" si="65"/>
        <v>0</v>
      </c>
      <c r="AF125" s="7">
        <f t="shared" si="66"/>
        <v>0</v>
      </c>
      <c r="AG125" s="43">
        <f t="shared" si="67"/>
        <v>0</v>
      </c>
      <c r="AH125" s="43">
        <f t="shared" si="68"/>
        <v>3520</v>
      </c>
      <c r="AI125" s="43">
        <f t="shared" si="69"/>
        <v>0</v>
      </c>
    </row>
    <row r="126" spans="1:35" x14ac:dyDescent="0.25">
      <c r="A126" s="113" t="s">
        <v>771</v>
      </c>
      <c r="C126" t="s">
        <v>845</v>
      </c>
      <c r="D126" t="s">
        <v>838</v>
      </c>
      <c r="F126" s="46">
        <v>1</v>
      </c>
      <c r="G126" s="47">
        <f t="shared" si="56"/>
        <v>0</v>
      </c>
      <c r="H126" s="36">
        <f t="shared" si="57"/>
        <v>4281</v>
      </c>
      <c r="I126" s="37"/>
      <c r="J126" s="140">
        <v>2</v>
      </c>
      <c r="K126" t="s">
        <v>735</v>
      </c>
      <c r="L126" s="24">
        <v>1</v>
      </c>
      <c r="M126" s="38"/>
      <c r="N126" s="39">
        <f>INDEX(Inventory!E:E,MATCH(K126, Inventory!A:A),1)</f>
        <v>5543</v>
      </c>
      <c r="O126" s="40">
        <f t="shared" si="58"/>
        <v>0</v>
      </c>
      <c r="P126" s="41">
        <f t="shared" si="59"/>
        <v>0</v>
      </c>
      <c r="Q126" s="41" cm="1">
        <f t="array" ref="Q126">MAX(IF($A:$A=$A126, $P:$P))</f>
        <v>0</v>
      </c>
      <c r="R126" s="113" t="s">
        <v>728</v>
      </c>
      <c r="S126" s="116">
        <v>1</v>
      </c>
      <c r="T126" s="117"/>
      <c r="U126" s="39">
        <f>IF(S126 &gt; 0,INDEX(Inventory!E:E,MATCH(R126, Inventory!A:A),1), "")</f>
        <v>4281</v>
      </c>
      <c r="V126" s="40">
        <f t="shared" si="60"/>
        <v>0</v>
      </c>
      <c r="W126" s="41">
        <f t="shared" si="61"/>
        <v>0</v>
      </c>
      <c r="Z126" s="38"/>
      <c r="AA126" s="39" t="str">
        <f>IF(Y126&gt;0, INDEX(Inventory!E:E,MATCH(X126, Inventory!A:A),1), "")</f>
        <v/>
      </c>
      <c r="AB126" s="42">
        <f t="shared" si="62"/>
        <v>0</v>
      </c>
      <c r="AC126" s="41">
        <f t="shared" si="63"/>
        <v>0</v>
      </c>
      <c r="AD126" s="114">
        <f t="shared" si="64"/>
        <v>0</v>
      </c>
      <c r="AE126" s="7">
        <f t="shared" si="65"/>
        <v>0</v>
      </c>
      <c r="AF126" s="7">
        <f t="shared" si="66"/>
        <v>0</v>
      </c>
      <c r="AG126" s="43">
        <f t="shared" si="67"/>
        <v>0</v>
      </c>
      <c r="AH126" s="43">
        <f t="shared" si="68"/>
        <v>4281</v>
      </c>
      <c r="AI126" s="43">
        <f t="shared" si="69"/>
        <v>0</v>
      </c>
    </row>
    <row r="127" spans="1:35" x14ac:dyDescent="0.25">
      <c r="A127" s="113" t="s">
        <v>771</v>
      </c>
      <c r="C127" t="s">
        <v>845</v>
      </c>
      <c r="D127" t="s">
        <v>838</v>
      </c>
      <c r="F127" s="34">
        <v>1</v>
      </c>
      <c r="G127" s="35">
        <f t="shared" si="56"/>
        <v>0</v>
      </c>
      <c r="H127" s="36">
        <f t="shared" si="57"/>
        <v>1926</v>
      </c>
      <c r="I127" s="37"/>
      <c r="J127" s="140">
        <v>2</v>
      </c>
      <c r="K127" t="s">
        <v>723</v>
      </c>
      <c r="L127" s="24">
        <v>1</v>
      </c>
      <c r="M127" s="38"/>
      <c r="N127" s="39">
        <f>INDEX(Inventory!E:E,MATCH(K127, Inventory!A:A),1)</f>
        <v>1926</v>
      </c>
      <c r="O127" s="40">
        <f t="shared" si="58"/>
        <v>0</v>
      </c>
      <c r="P127" s="41">
        <f t="shared" si="59"/>
        <v>0</v>
      </c>
      <c r="Q127" s="41" cm="1">
        <f t="array" ref="Q127">MAX(IF($A:$A=$A127, $P:$P))</f>
        <v>0</v>
      </c>
      <c r="R127" s="113" t="s">
        <v>777</v>
      </c>
      <c r="S127" s="116">
        <v>1</v>
      </c>
      <c r="T127" s="117"/>
      <c r="U127" s="39">
        <f>IF(S127 &gt; 0,INDEX(Inventory!E:E,MATCH(R127, Inventory!A:A),1), "")</f>
        <v>4839</v>
      </c>
      <c r="V127" s="40">
        <f t="shared" si="60"/>
        <v>0</v>
      </c>
      <c r="W127" s="41">
        <f t="shared" si="61"/>
        <v>0</v>
      </c>
      <c r="Z127" s="38"/>
      <c r="AA127" s="39" t="str">
        <f>IF(Y127&gt;0, INDEX(Inventory!E:E,MATCH(X127, Inventory!A:A),1), "")</f>
        <v/>
      </c>
      <c r="AB127" s="42">
        <f t="shared" si="62"/>
        <v>0</v>
      </c>
      <c r="AC127" s="41">
        <f t="shared" si="63"/>
        <v>0</v>
      </c>
      <c r="AD127" s="114">
        <f t="shared" si="64"/>
        <v>0</v>
      </c>
      <c r="AE127" s="7">
        <f t="shared" si="65"/>
        <v>0</v>
      </c>
      <c r="AF127" s="7">
        <f t="shared" si="66"/>
        <v>0</v>
      </c>
      <c r="AG127" s="43">
        <f t="shared" si="67"/>
        <v>0</v>
      </c>
      <c r="AH127" s="43">
        <f t="shared" si="68"/>
        <v>1926</v>
      </c>
      <c r="AI127" s="43">
        <f t="shared" si="69"/>
        <v>0</v>
      </c>
    </row>
    <row r="128" spans="1:35" x14ac:dyDescent="0.25">
      <c r="A128" s="113" t="s">
        <v>771</v>
      </c>
      <c r="C128" t="s">
        <v>845</v>
      </c>
      <c r="D128" t="s">
        <v>838</v>
      </c>
      <c r="F128" s="34">
        <v>2</v>
      </c>
      <c r="G128" s="35">
        <f t="shared" si="56"/>
        <v>0</v>
      </c>
      <c r="H128" s="36">
        <f t="shared" si="57"/>
        <v>8562</v>
      </c>
      <c r="I128" s="37"/>
      <c r="J128" s="140">
        <v>2</v>
      </c>
      <c r="K128" t="s">
        <v>728</v>
      </c>
      <c r="L128" s="24">
        <v>1</v>
      </c>
      <c r="M128" s="45"/>
      <c r="N128" s="56">
        <f>INDEX(Inventory!E:E,MATCH(K128, Inventory!A:A),1)</f>
        <v>4281</v>
      </c>
      <c r="O128" s="48">
        <f t="shared" si="58"/>
        <v>0</v>
      </c>
      <c r="P128" s="41">
        <f t="shared" si="59"/>
        <v>0</v>
      </c>
      <c r="Q128" s="41" cm="1">
        <f t="array" ref="Q128">MAX(IF($A:$A=$A128, $P:$P))</f>
        <v>0</v>
      </c>
      <c r="R128" s="113" t="s">
        <v>777</v>
      </c>
      <c r="S128" s="116">
        <v>1</v>
      </c>
      <c r="T128" s="117"/>
      <c r="U128" s="56">
        <f>IF(S128 &gt; 0,INDEX(Inventory!E:E,MATCH(R128, Inventory!A:A),1), "")</f>
        <v>4839</v>
      </c>
      <c r="V128" s="40">
        <f t="shared" si="60"/>
        <v>0</v>
      </c>
      <c r="W128" s="41">
        <f t="shared" si="61"/>
        <v>0</v>
      </c>
      <c r="Z128" s="38"/>
      <c r="AA128" s="39" t="str">
        <f>IF(Y128&gt;0, INDEX(Inventory!E:E,MATCH(X128, Inventory!A:A),1), "")</f>
        <v/>
      </c>
      <c r="AB128" s="42">
        <f t="shared" si="62"/>
        <v>0</v>
      </c>
      <c r="AC128" s="41">
        <f t="shared" si="63"/>
        <v>0</v>
      </c>
      <c r="AD128" s="114">
        <f t="shared" si="64"/>
        <v>0</v>
      </c>
      <c r="AE128" s="7">
        <f t="shared" si="65"/>
        <v>0</v>
      </c>
      <c r="AF128" s="7">
        <f t="shared" si="66"/>
        <v>0</v>
      </c>
      <c r="AG128" s="43">
        <f t="shared" si="67"/>
        <v>0</v>
      </c>
      <c r="AH128" s="43">
        <f t="shared" si="68"/>
        <v>8562</v>
      </c>
      <c r="AI128" s="43">
        <f t="shared" si="69"/>
        <v>0</v>
      </c>
    </row>
    <row r="129" spans="1:35" x14ac:dyDescent="0.25">
      <c r="A129" s="113" t="s">
        <v>771</v>
      </c>
      <c r="C129" t="s">
        <v>845</v>
      </c>
      <c r="D129" t="s">
        <v>838</v>
      </c>
      <c r="F129" s="34">
        <v>2</v>
      </c>
      <c r="G129" s="35">
        <f t="shared" si="56"/>
        <v>0</v>
      </c>
      <c r="H129" s="36">
        <f t="shared" si="57"/>
        <v>43954</v>
      </c>
      <c r="I129" s="37"/>
      <c r="J129" s="140">
        <v>1</v>
      </c>
      <c r="K129" t="s">
        <v>740</v>
      </c>
      <c r="L129" s="24">
        <v>3</v>
      </c>
      <c r="M129" s="38"/>
      <c r="N129" s="39">
        <f>INDEX(Inventory!E:E,MATCH(K129, Inventory!A:A),1)</f>
        <v>65932</v>
      </c>
      <c r="O129" s="40">
        <f t="shared" si="58"/>
        <v>0</v>
      </c>
      <c r="P129" s="41">
        <f t="shared" si="59"/>
        <v>0</v>
      </c>
      <c r="Q129" s="41" cm="1">
        <f t="array" ref="Q129">MAX(IF($A:$A=$A129, $P:$P))</f>
        <v>0</v>
      </c>
      <c r="R129" s="113"/>
      <c r="S129" s="116"/>
      <c r="T129" s="117"/>
      <c r="U129" s="39" t="str">
        <f>IF(S129 &gt; 0,INDEX(Inventory!E:E,MATCH(R129, Inventory!A:A),1), "")</f>
        <v/>
      </c>
      <c r="V129" s="40">
        <f t="shared" si="60"/>
        <v>0</v>
      </c>
      <c r="W129" s="41">
        <f t="shared" si="61"/>
        <v>0</v>
      </c>
      <c r="Z129" s="38"/>
      <c r="AA129" s="39" t="str">
        <f>IF(Y129&gt;0, INDEX(Inventory!E:E,MATCH(X129, Inventory!A:A),1), "")</f>
        <v/>
      </c>
      <c r="AB129" s="42">
        <f t="shared" si="62"/>
        <v>0</v>
      </c>
      <c r="AC129" s="41">
        <f t="shared" si="63"/>
        <v>0</v>
      </c>
      <c r="AD129" s="114">
        <f t="shared" si="64"/>
        <v>0</v>
      </c>
      <c r="AE129" s="7">
        <f t="shared" si="65"/>
        <v>0</v>
      </c>
      <c r="AF129" s="7">
        <f t="shared" si="66"/>
        <v>0</v>
      </c>
      <c r="AG129" s="43">
        <f t="shared" si="67"/>
        <v>43954.666666666664</v>
      </c>
      <c r="AH129" s="43">
        <f t="shared" si="68"/>
        <v>0</v>
      </c>
      <c r="AI129" s="43">
        <f t="shared" si="69"/>
        <v>0</v>
      </c>
    </row>
    <row r="130" spans="1:35" x14ac:dyDescent="0.25">
      <c r="A130" s="113" t="s">
        <v>323</v>
      </c>
      <c r="C130" t="s">
        <v>888</v>
      </c>
      <c r="D130" t="s">
        <v>838</v>
      </c>
      <c r="F130" s="46">
        <v>1</v>
      </c>
      <c r="G130" s="47">
        <f t="shared" si="56"/>
        <v>0</v>
      </c>
      <c r="H130" s="36">
        <f t="shared" si="57"/>
        <v>4291</v>
      </c>
      <c r="I130" s="37">
        <v>1800</v>
      </c>
      <c r="J130" s="140">
        <v>2</v>
      </c>
      <c r="K130" t="s">
        <v>781</v>
      </c>
      <c r="L130" s="24">
        <v>1</v>
      </c>
      <c r="M130" s="38"/>
      <c r="N130" s="39">
        <f>INDEX(Inventory!E:E,MATCH(K130, Inventory!A:A),1)</f>
        <v>4291</v>
      </c>
      <c r="O130" s="40">
        <f t="shared" si="58"/>
        <v>1800</v>
      </c>
      <c r="P130" s="41">
        <f t="shared" si="59"/>
        <v>2.3838888888888889</v>
      </c>
      <c r="Q130" s="41" cm="1">
        <f t="array" ref="Q130">MAX(IF($A:$A=$A130, $P:$P))</f>
        <v>2.3838888888888889</v>
      </c>
      <c r="R130" s="113" t="s">
        <v>726</v>
      </c>
      <c r="S130" s="116">
        <v>1</v>
      </c>
      <c r="T130" s="117"/>
      <c r="U130" s="39">
        <f>IF(S130 &gt; 0,INDEX(Inventory!E:E,MATCH(R130, Inventory!A:A),1), "")</f>
        <v>18593</v>
      </c>
      <c r="V130" s="40">
        <f t="shared" si="60"/>
        <v>1800</v>
      </c>
      <c r="W130" s="41">
        <f t="shared" si="61"/>
        <v>10.329444444444444</v>
      </c>
      <c r="Z130" s="38"/>
      <c r="AA130" s="39" t="str">
        <f>IF(Y130&gt;0, INDEX(Inventory!E:E,MATCH(X130, Inventory!A:A),1), "")</f>
        <v/>
      </c>
      <c r="AB130" s="42">
        <f t="shared" si="62"/>
        <v>0</v>
      </c>
      <c r="AC130" s="41">
        <f t="shared" si="63"/>
        <v>0</v>
      </c>
      <c r="AD130" s="114">
        <f t="shared" si="64"/>
        <v>0</v>
      </c>
      <c r="AE130" s="7">
        <f t="shared" si="65"/>
        <v>0</v>
      </c>
      <c r="AF130" s="7">
        <f t="shared" si="66"/>
        <v>0</v>
      </c>
      <c r="AG130" s="43">
        <f t="shared" si="67"/>
        <v>0</v>
      </c>
      <c r="AH130" s="43">
        <f t="shared" si="68"/>
        <v>4291</v>
      </c>
      <c r="AI130" s="43">
        <f t="shared" si="69"/>
        <v>0</v>
      </c>
    </row>
    <row r="131" spans="1:35" x14ac:dyDescent="0.25">
      <c r="A131" s="113" t="s">
        <v>323</v>
      </c>
      <c r="C131" t="s">
        <v>888</v>
      </c>
      <c r="D131" t="s">
        <v>838</v>
      </c>
      <c r="F131" s="46">
        <v>1</v>
      </c>
      <c r="G131" s="47">
        <f t="shared" si="56"/>
        <v>0</v>
      </c>
      <c r="H131" s="36">
        <f t="shared" si="57"/>
        <v>4291</v>
      </c>
      <c r="I131" s="37">
        <v>1800</v>
      </c>
      <c r="J131" s="140">
        <v>2</v>
      </c>
      <c r="K131" t="s">
        <v>781</v>
      </c>
      <c r="L131" s="24">
        <v>1</v>
      </c>
      <c r="M131" s="38"/>
      <c r="N131" s="39">
        <f>INDEX(Inventory!E:E,MATCH(K131, Inventory!A:A),1)</f>
        <v>4291</v>
      </c>
      <c r="O131" s="40">
        <f t="shared" si="58"/>
        <v>1800</v>
      </c>
      <c r="P131" s="41">
        <f t="shared" si="59"/>
        <v>2.3838888888888889</v>
      </c>
      <c r="Q131" s="41" cm="1">
        <f t="array" ref="Q131">MAX(IF($A:$A=$A131, $P:$P))</f>
        <v>2.3838888888888889</v>
      </c>
      <c r="R131" s="113" t="s">
        <v>209</v>
      </c>
      <c r="S131" s="116">
        <v>1</v>
      </c>
      <c r="T131" s="117"/>
      <c r="U131" s="39">
        <f>IF(S131 &gt; 0,INDEX(Inventory!E:E,MATCH(R131, Inventory!A:A),1), "")</f>
        <v>9872</v>
      </c>
      <c r="V131" s="40">
        <f t="shared" si="60"/>
        <v>1800</v>
      </c>
      <c r="W131" s="41">
        <f t="shared" si="61"/>
        <v>5.4844444444444447</v>
      </c>
      <c r="Z131" s="38"/>
      <c r="AA131" s="39" t="str">
        <f>IF(Y131&gt;0, INDEX(Inventory!E:E,MATCH(X131, Inventory!A:A),1), "")</f>
        <v/>
      </c>
      <c r="AB131" s="42">
        <f t="shared" si="62"/>
        <v>0</v>
      </c>
      <c r="AC131" s="41">
        <f t="shared" si="63"/>
        <v>0</v>
      </c>
      <c r="AD131" s="114">
        <f t="shared" si="64"/>
        <v>0</v>
      </c>
      <c r="AE131" s="7">
        <f t="shared" si="65"/>
        <v>0</v>
      </c>
      <c r="AF131" s="7">
        <f t="shared" si="66"/>
        <v>0</v>
      </c>
      <c r="AG131" s="43">
        <f t="shared" si="67"/>
        <v>0</v>
      </c>
      <c r="AH131" s="43">
        <f t="shared" si="68"/>
        <v>4291</v>
      </c>
      <c r="AI131" s="43">
        <f t="shared" si="69"/>
        <v>0</v>
      </c>
    </row>
    <row r="132" spans="1:35" x14ac:dyDescent="0.25">
      <c r="A132" s="113" t="s">
        <v>323</v>
      </c>
      <c r="C132" t="s">
        <v>888</v>
      </c>
      <c r="D132" t="s">
        <v>838</v>
      </c>
      <c r="F132" s="46">
        <v>1</v>
      </c>
      <c r="G132" s="57">
        <f t="shared" ref="G132:G163" si="70">MAX(AD132:AF132)</f>
        <v>0</v>
      </c>
      <c r="H132" s="36">
        <f t="shared" ref="H132:H163" si="71">ROUNDDOWN(MAX(AG132:AI132),0)</f>
        <v>1430</v>
      </c>
      <c r="I132" s="37">
        <v>1800</v>
      </c>
      <c r="J132" s="140">
        <v>1</v>
      </c>
      <c r="K132" t="s">
        <v>781</v>
      </c>
      <c r="L132" s="24">
        <v>3</v>
      </c>
      <c r="M132" s="38"/>
      <c r="N132" s="56">
        <f>INDEX(Inventory!E:E,MATCH(K132, Inventory!A:A),1)</f>
        <v>4291</v>
      </c>
      <c r="O132" s="40">
        <f t="shared" ref="O132:O163" si="72">I132/F132*L132</f>
        <v>5400</v>
      </c>
      <c r="P132" s="41">
        <f t="shared" ref="P132:P163" si="73">IF(ISBLANK(I132), 0, N132/O132)</f>
        <v>0.79462962962962957</v>
      </c>
      <c r="Q132" s="41" cm="1">
        <f t="array" ref="Q132">MAX(IF($A:$A=$A132, $P:$P))</f>
        <v>2.3838888888888889</v>
      </c>
      <c r="R132" s="113"/>
      <c r="S132" s="116"/>
      <c r="T132" s="117"/>
      <c r="U132" s="56" t="str">
        <f>IF(S132 &gt; 0,INDEX(Inventory!E:E,MATCH(R132, Inventory!A:A),1), "")</f>
        <v/>
      </c>
      <c r="V132" s="40">
        <f t="shared" ref="V132:V163" si="74">I132/F132*S132</f>
        <v>0</v>
      </c>
      <c r="W132" s="41">
        <f t="shared" ref="W132:W163" si="75">IF(ISBLANK(I132),0,IF(ISBLANK(S132),0,U132/V132))</f>
        <v>0</v>
      </c>
      <c r="Z132" s="38"/>
      <c r="AA132" s="56" t="str">
        <f>IF(Y132&gt;0, INDEX(Inventory!E:E,MATCH(X132, Inventory!A:A),1), "")</f>
        <v/>
      </c>
      <c r="AB132" s="42">
        <f t="shared" ref="AB132:AB163" si="76">I132/F132*Y132</f>
        <v>0</v>
      </c>
      <c r="AC132" s="41">
        <f t="shared" ref="AC132:AC163" si="77">IF(ISBLANK(I132), 0, IF(ISBLANK(Y132), 0, AA132/AB132))</f>
        <v>0</v>
      </c>
      <c r="AD132" s="114">
        <f t="shared" ref="AD132:AD163" si="78">IF(J132=1, M132/L132*F132, 0)</f>
        <v>0</v>
      </c>
      <c r="AE132" s="7">
        <f t="shared" ref="AE132:AE163" si="79">IF(J132=2, MIN(M132/L132, T132/S132)* F132,0)</f>
        <v>0</v>
      </c>
      <c r="AF132" s="7">
        <f t="shared" ref="AF132:AF163" si="80">IF(J132=3, MIN(M132/L132, T132/S132, Z132/Y132) * F132, 0)</f>
        <v>0</v>
      </c>
      <c r="AG132" s="43">
        <f t="shared" ref="AG132:AG163" si="81">IF(J132=1, N132/L132*F132, 0)</f>
        <v>1430.3333333333333</v>
      </c>
      <c r="AH132" s="43">
        <f t="shared" ref="AH132:AH163" si="82">IF(J132=2,MIN(N132/L132, U132/S132)* F132,0)</f>
        <v>0</v>
      </c>
      <c r="AI132" s="43">
        <f t="shared" ref="AI132:AI163" si="83">IF(J132=3, MIN(N132/L132, U132/S132, AA132/Y132) * F132, 0)</f>
        <v>0</v>
      </c>
    </row>
    <row r="133" spans="1:35" x14ac:dyDescent="0.25">
      <c r="A133" s="113" t="s">
        <v>772</v>
      </c>
      <c r="C133" t="s">
        <v>858</v>
      </c>
      <c r="D133" t="s">
        <v>833</v>
      </c>
      <c r="E133" t="s">
        <v>889</v>
      </c>
      <c r="F133" s="46">
        <v>1</v>
      </c>
      <c r="G133" s="57">
        <f t="shared" si="70"/>
        <v>0</v>
      </c>
      <c r="H133" s="36">
        <f t="shared" si="71"/>
        <v>7</v>
      </c>
      <c r="I133" s="37"/>
      <c r="J133" s="140">
        <v>2</v>
      </c>
      <c r="K133" t="s">
        <v>323</v>
      </c>
      <c r="L133" s="24">
        <v>250</v>
      </c>
      <c r="M133" s="38"/>
      <c r="N133" s="56">
        <f>INDEX(Inventory!E:E,MATCH(K133, Inventory!A:A),1)</f>
        <v>1819</v>
      </c>
      <c r="O133" s="40">
        <f t="shared" si="72"/>
        <v>0</v>
      </c>
      <c r="P133" s="41">
        <f t="shared" si="73"/>
        <v>0</v>
      </c>
      <c r="Q133" s="41" cm="1">
        <f t="array" ref="Q133">MAX(IF($A:$A=$A133, $P:$P))</f>
        <v>0</v>
      </c>
      <c r="R133" s="113" t="s">
        <v>728</v>
      </c>
      <c r="S133" s="116">
        <v>50</v>
      </c>
      <c r="T133" s="117"/>
      <c r="U133" s="56">
        <f>IF(S133 &gt; 0,INDEX(Inventory!E:E,MATCH(R133, Inventory!A:A),1), "")</f>
        <v>4281</v>
      </c>
      <c r="V133" s="40">
        <f t="shared" si="74"/>
        <v>0</v>
      </c>
      <c r="W133" s="41">
        <f t="shared" si="75"/>
        <v>0</v>
      </c>
      <c r="Z133" s="38"/>
      <c r="AA133" s="56" t="str">
        <f>IF(Y133&gt;0, INDEX(Inventory!E:E,MATCH(X133, Inventory!A:A),1), "")</f>
        <v/>
      </c>
      <c r="AB133" s="42">
        <f t="shared" si="76"/>
        <v>0</v>
      </c>
      <c r="AC133" s="41">
        <f t="shared" si="77"/>
        <v>0</v>
      </c>
      <c r="AD133" s="114">
        <f t="shared" si="78"/>
        <v>0</v>
      </c>
      <c r="AE133" s="7">
        <f t="shared" si="79"/>
        <v>0</v>
      </c>
      <c r="AF133" s="7">
        <f t="shared" si="80"/>
        <v>0</v>
      </c>
      <c r="AG133" s="43">
        <f t="shared" si="81"/>
        <v>0</v>
      </c>
      <c r="AH133" s="43">
        <f t="shared" si="82"/>
        <v>7.2759999999999998</v>
      </c>
      <c r="AI133" s="43">
        <f t="shared" si="83"/>
        <v>0</v>
      </c>
    </row>
    <row r="134" spans="1:35" x14ac:dyDescent="0.25">
      <c r="A134" s="113" t="s">
        <v>890</v>
      </c>
      <c r="B134" s="113" t="s">
        <v>891</v>
      </c>
      <c r="C134" t="s">
        <v>836</v>
      </c>
      <c r="D134" t="s">
        <v>833</v>
      </c>
      <c r="F134" s="46">
        <v>1</v>
      </c>
      <c r="G134" s="57">
        <f t="shared" si="70"/>
        <v>0</v>
      </c>
      <c r="H134" s="36">
        <f t="shared" si="71"/>
        <v>33</v>
      </c>
      <c r="I134" s="37"/>
      <c r="J134" s="140">
        <v>3</v>
      </c>
      <c r="K134" t="s">
        <v>196</v>
      </c>
      <c r="L134" s="24">
        <v>60</v>
      </c>
      <c r="M134" s="45"/>
      <c r="N134" s="56">
        <f>INDEX(Inventory!E:E,MATCH(K134, Inventory!A:A),1)</f>
        <v>616165</v>
      </c>
      <c r="O134" s="40">
        <f t="shared" si="72"/>
        <v>0</v>
      </c>
      <c r="P134" s="41">
        <f t="shared" si="73"/>
        <v>0</v>
      </c>
      <c r="Q134" s="41" cm="1">
        <f t="array" ref="Q134">MAX(IF($A:$A=$A134, $P:$P))</f>
        <v>0</v>
      </c>
      <c r="R134" s="113" t="s">
        <v>778</v>
      </c>
      <c r="S134" s="116">
        <v>40</v>
      </c>
      <c r="T134" s="117"/>
      <c r="U134" s="56">
        <f>IF(S134 &gt; 0,INDEX(Inventory!E:E,MATCH(R134, Inventory!A:A),1), "")</f>
        <v>1356</v>
      </c>
      <c r="V134" s="40">
        <f t="shared" si="74"/>
        <v>0</v>
      </c>
      <c r="W134" s="41">
        <f t="shared" si="75"/>
        <v>0</v>
      </c>
      <c r="X134" t="s">
        <v>209</v>
      </c>
      <c r="Y134" s="24">
        <v>15</v>
      </c>
      <c r="Z134" s="38"/>
      <c r="AA134" s="56">
        <f>IF(Y134&gt;0, INDEX(Inventory!E:E,MATCH(X134, Inventory!A:A),1), "")</f>
        <v>9872</v>
      </c>
      <c r="AB134" s="42">
        <f t="shared" si="76"/>
        <v>0</v>
      </c>
      <c r="AC134" s="41">
        <f t="shared" si="77"/>
        <v>0</v>
      </c>
      <c r="AD134" s="114">
        <f t="shared" si="78"/>
        <v>0</v>
      </c>
      <c r="AE134" s="7">
        <f t="shared" si="79"/>
        <v>0</v>
      </c>
      <c r="AF134" s="7">
        <f t="shared" si="80"/>
        <v>0</v>
      </c>
      <c r="AG134" s="43">
        <f t="shared" si="81"/>
        <v>0</v>
      </c>
      <c r="AH134" s="43">
        <f t="shared" si="82"/>
        <v>0</v>
      </c>
      <c r="AI134" s="43">
        <f t="shared" si="83"/>
        <v>33.9</v>
      </c>
    </row>
    <row r="135" spans="1:35" x14ac:dyDescent="0.25">
      <c r="A135" s="113" t="s">
        <v>892</v>
      </c>
      <c r="B135" s="113" t="s">
        <v>893</v>
      </c>
      <c r="C135" t="s">
        <v>836</v>
      </c>
      <c r="D135" t="s">
        <v>833</v>
      </c>
      <c r="F135" s="34">
        <v>1</v>
      </c>
      <c r="G135" s="54">
        <f t="shared" si="70"/>
        <v>0</v>
      </c>
      <c r="H135" s="36">
        <f t="shared" si="71"/>
        <v>1</v>
      </c>
      <c r="I135" s="37"/>
      <c r="J135" s="140">
        <v>3</v>
      </c>
      <c r="K135" t="s">
        <v>752</v>
      </c>
      <c r="L135" s="24">
        <v>150</v>
      </c>
      <c r="M135" s="45"/>
      <c r="N135" s="56">
        <f>INDEX(Inventory!E:E,MATCH(K135, Inventory!A:A),1)</f>
        <v>4286</v>
      </c>
      <c r="O135" s="40">
        <f t="shared" si="72"/>
        <v>0</v>
      </c>
      <c r="P135" s="41">
        <f t="shared" si="73"/>
        <v>0</v>
      </c>
      <c r="Q135" s="41" cm="1">
        <f t="array" ref="Q135">MAX(IF($A:$A=$A135, $P:$P))</f>
        <v>0</v>
      </c>
      <c r="R135" s="113" t="s">
        <v>759</v>
      </c>
      <c r="S135" s="116">
        <v>50</v>
      </c>
      <c r="T135" s="117"/>
      <c r="U135" s="56">
        <f>IF(S135 &gt; 0,INDEX(Inventory!E:E,MATCH(R135, Inventory!A:A),1), "")</f>
        <v>2836</v>
      </c>
      <c r="V135" s="40">
        <f t="shared" si="74"/>
        <v>0</v>
      </c>
      <c r="W135" s="41">
        <f t="shared" si="75"/>
        <v>0</v>
      </c>
      <c r="X135" t="s">
        <v>796</v>
      </c>
      <c r="Y135" s="24">
        <v>3</v>
      </c>
      <c r="Z135" s="38"/>
      <c r="AA135" s="56">
        <f>IF(Y135&gt;0, INDEX(Inventory!E:E,MATCH(X135, Inventory!A:A),1), "")</f>
        <v>5</v>
      </c>
      <c r="AB135" s="42">
        <f t="shared" si="76"/>
        <v>0</v>
      </c>
      <c r="AC135" s="41">
        <f t="shared" si="77"/>
        <v>0</v>
      </c>
      <c r="AD135" s="114">
        <f t="shared" si="78"/>
        <v>0</v>
      </c>
      <c r="AE135" s="7">
        <f t="shared" si="79"/>
        <v>0</v>
      </c>
      <c r="AF135" s="7">
        <f t="shared" si="80"/>
        <v>0</v>
      </c>
      <c r="AG135" s="43">
        <f t="shared" si="81"/>
        <v>0</v>
      </c>
      <c r="AH135" s="43">
        <f t="shared" si="82"/>
        <v>0</v>
      </c>
      <c r="AI135" s="43">
        <f t="shared" si="83"/>
        <v>1.6666666666666667</v>
      </c>
    </row>
    <row r="136" spans="1:35" x14ac:dyDescent="0.25">
      <c r="A136" s="113" t="s">
        <v>773</v>
      </c>
      <c r="D136" t="s">
        <v>833</v>
      </c>
      <c r="E136" t="s">
        <v>747</v>
      </c>
      <c r="F136" s="34">
        <v>1</v>
      </c>
      <c r="G136" s="54">
        <f t="shared" si="70"/>
        <v>0</v>
      </c>
      <c r="H136" s="36">
        <f t="shared" si="71"/>
        <v>47</v>
      </c>
      <c r="I136" s="37"/>
      <c r="J136" s="140">
        <v>2</v>
      </c>
      <c r="K136" t="s">
        <v>791</v>
      </c>
      <c r="L136" s="24">
        <v>1</v>
      </c>
      <c r="M136" s="38"/>
      <c r="N136" s="56">
        <f>INDEX(Inventory!E:E,MATCH(K136, Inventory!A:A),1)</f>
        <v>47</v>
      </c>
      <c r="O136" s="40">
        <f t="shared" si="72"/>
        <v>0</v>
      </c>
      <c r="P136" s="41">
        <f t="shared" si="73"/>
        <v>0</v>
      </c>
      <c r="Q136" s="41" cm="1">
        <f t="array" ref="Q136">MAX(IF($A:$A=$A136, $P:$P))</f>
        <v>0</v>
      </c>
      <c r="R136" s="113" t="s">
        <v>739</v>
      </c>
      <c r="S136" s="116">
        <v>1</v>
      </c>
      <c r="T136" s="117"/>
      <c r="U136" s="56">
        <f>IF(S136 &gt; 0,INDEX(Inventory!E:E,MATCH(R136, Inventory!A:A),1), "")</f>
        <v>94</v>
      </c>
      <c r="V136" s="40">
        <f t="shared" si="74"/>
        <v>0</v>
      </c>
      <c r="W136" s="41">
        <f t="shared" si="75"/>
        <v>0</v>
      </c>
      <c r="Z136" s="38"/>
      <c r="AA136" s="56" t="str">
        <f>IF(Y136&gt;0, INDEX(Inventory!E:E,MATCH(X136, Inventory!A:A),1), "")</f>
        <v/>
      </c>
      <c r="AB136" s="42">
        <f t="shared" si="76"/>
        <v>0</v>
      </c>
      <c r="AC136" s="41">
        <f t="shared" si="77"/>
        <v>0</v>
      </c>
      <c r="AD136" s="114">
        <f t="shared" si="78"/>
        <v>0</v>
      </c>
      <c r="AE136" s="7">
        <f t="shared" si="79"/>
        <v>0</v>
      </c>
      <c r="AF136" s="7">
        <f t="shared" si="80"/>
        <v>0</v>
      </c>
      <c r="AG136" s="43">
        <f t="shared" si="81"/>
        <v>0</v>
      </c>
      <c r="AH136" s="43">
        <f t="shared" si="82"/>
        <v>47</v>
      </c>
      <c r="AI136" s="43">
        <f t="shared" si="83"/>
        <v>0</v>
      </c>
    </row>
    <row r="137" spans="1:35" x14ac:dyDescent="0.25">
      <c r="A137" s="113" t="s">
        <v>209</v>
      </c>
      <c r="C137" t="s">
        <v>894</v>
      </c>
      <c r="D137" t="s">
        <v>838</v>
      </c>
      <c r="F137" s="34">
        <v>10</v>
      </c>
      <c r="G137" s="54">
        <f t="shared" si="70"/>
        <v>0</v>
      </c>
      <c r="H137" s="36">
        <f t="shared" si="71"/>
        <v>10510</v>
      </c>
      <c r="I137" s="37">
        <v>18000</v>
      </c>
      <c r="J137" s="140">
        <v>3</v>
      </c>
      <c r="K137" t="s">
        <v>184</v>
      </c>
      <c r="L137" s="24">
        <v>1</v>
      </c>
      <c r="M137" s="45"/>
      <c r="N137" s="56">
        <f>INDEX(Inventory!E:E,MATCH(K137, Inventory!A:A),1)</f>
        <v>3790</v>
      </c>
      <c r="O137" s="40">
        <f t="shared" si="72"/>
        <v>1800</v>
      </c>
      <c r="P137" s="41">
        <f t="shared" si="73"/>
        <v>2.1055555555555556</v>
      </c>
      <c r="Q137" s="41" cm="1">
        <f t="array" ref="Q137">MAX(IF($A:$A=$A137, $P:$P))</f>
        <v>24.162777777777777</v>
      </c>
      <c r="R137" s="113" t="s">
        <v>761</v>
      </c>
      <c r="S137" s="116">
        <v>1</v>
      </c>
      <c r="T137" s="117"/>
      <c r="U137" s="56">
        <f>IF(S137 &gt; 0,INDEX(Inventory!E:E,MATCH(R137, Inventory!A:A),1), "")</f>
        <v>1051</v>
      </c>
      <c r="V137" s="40">
        <f t="shared" si="74"/>
        <v>1800</v>
      </c>
      <c r="W137" s="41">
        <f t="shared" si="75"/>
        <v>0.5838888888888889</v>
      </c>
      <c r="X137" t="s">
        <v>728</v>
      </c>
      <c r="Y137" s="24">
        <v>1</v>
      </c>
      <c r="Z137" s="38"/>
      <c r="AA137" s="56">
        <f>IF(Y137&gt;0, INDEX(Inventory!E:E,MATCH(X137, Inventory!A:A),1), "")</f>
        <v>4281</v>
      </c>
      <c r="AB137" s="42">
        <f t="shared" si="76"/>
        <v>1800</v>
      </c>
      <c r="AC137" s="41">
        <f t="shared" si="77"/>
        <v>2.3783333333333334</v>
      </c>
      <c r="AD137" s="114">
        <f t="shared" si="78"/>
        <v>0</v>
      </c>
      <c r="AE137" s="7">
        <f t="shared" si="79"/>
        <v>0</v>
      </c>
      <c r="AF137" s="7">
        <f t="shared" si="80"/>
        <v>0</v>
      </c>
      <c r="AG137" s="43">
        <f t="shared" si="81"/>
        <v>0</v>
      </c>
      <c r="AH137" s="43">
        <f t="shared" si="82"/>
        <v>0</v>
      </c>
      <c r="AI137" s="43">
        <f t="shared" si="83"/>
        <v>10510</v>
      </c>
    </row>
    <row r="138" spans="1:35" x14ac:dyDescent="0.25">
      <c r="A138" s="113" t="s">
        <v>209</v>
      </c>
      <c r="C138" t="s">
        <v>894</v>
      </c>
      <c r="D138" t="s">
        <v>838</v>
      </c>
      <c r="F138" s="34">
        <v>10</v>
      </c>
      <c r="G138" s="54">
        <f t="shared" si="70"/>
        <v>0</v>
      </c>
      <c r="H138" s="36">
        <f t="shared" si="71"/>
        <v>10510</v>
      </c>
      <c r="I138" s="37">
        <v>18000</v>
      </c>
      <c r="J138" s="140">
        <v>3</v>
      </c>
      <c r="K138" t="s">
        <v>189</v>
      </c>
      <c r="L138" s="24">
        <v>1</v>
      </c>
      <c r="M138" s="45"/>
      <c r="N138" s="56">
        <f>INDEX(Inventory!E:E,MATCH(K138, Inventory!A:A),1)</f>
        <v>3049</v>
      </c>
      <c r="O138" s="40">
        <f t="shared" si="72"/>
        <v>1800</v>
      </c>
      <c r="P138" s="41">
        <f t="shared" si="73"/>
        <v>1.693888888888889</v>
      </c>
      <c r="Q138" s="41" cm="1">
        <f t="array" ref="Q138">MAX(IF($A:$A=$A138, $P:$P))</f>
        <v>24.162777777777777</v>
      </c>
      <c r="R138" s="113" t="s">
        <v>761</v>
      </c>
      <c r="S138" s="116">
        <v>1</v>
      </c>
      <c r="T138" s="117"/>
      <c r="U138" s="56">
        <f>IF(S138 &gt; 0,INDEX(Inventory!E:E,MATCH(R138, Inventory!A:A),1), "")</f>
        <v>1051</v>
      </c>
      <c r="V138" s="40">
        <f t="shared" si="74"/>
        <v>1800</v>
      </c>
      <c r="W138" s="41">
        <f t="shared" si="75"/>
        <v>0.5838888888888889</v>
      </c>
      <c r="X138" t="s">
        <v>728</v>
      </c>
      <c r="Y138" s="24">
        <v>1</v>
      </c>
      <c r="Z138" s="38"/>
      <c r="AA138" s="56">
        <f>IF(Y138&gt;0, INDEX(Inventory!E:E,MATCH(X138, Inventory!A:A),1), "")</f>
        <v>4281</v>
      </c>
      <c r="AB138" s="42">
        <f t="shared" si="76"/>
        <v>1800</v>
      </c>
      <c r="AC138" s="41">
        <f t="shared" si="77"/>
        <v>2.3783333333333334</v>
      </c>
      <c r="AD138" s="114">
        <f t="shared" si="78"/>
        <v>0</v>
      </c>
      <c r="AE138" s="7">
        <f t="shared" si="79"/>
        <v>0</v>
      </c>
      <c r="AF138" s="7">
        <f t="shared" si="80"/>
        <v>0</v>
      </c>
      <c r="AG138" s="43">
        <f t="shared" si="81"/>
        <v>0</v>
      </c>
      <c r="AH138" s="43">
        <f t="shared" si="82"/>
        <v>0</v>
      </c>
      <c r="AI138" s="43">
        <f t="shared" si="83"/>
        <v>10510</v>
      </c>
    </row>
    <row r="139" spans="1:35" x14ac:dyDescent="0.25">
      <c r="A139" s="113" t="s">
        <v>209</v>
      </c>
      <c r="C139" t="s">
        <v>894</v>
      </c>
      <c r="D139" t="s">
        <v>838</v>
      </c>
      <c r="F139" s="34">
        <v>10</v>
      </c>
      <c r="G139" s="35">
        <f t="shared" si="70"/>
        <v>0</v>
      </c>
      <c r="H139" s="36">
        <f t="shared" si="71"/>
        <v>10510</v>
      </c>
      <c r="I139" s="37">
        <v>18000</v>
      </c>
      <c r="J139" s="140">
        <v>3</v>
      </c>
      <c r="K139" t="s">
        <v>190</v>
      </c>
      <c r="L139" s="24">
        <v>1</v>
      </c>
      <c r="M139" s="45"/>
      <c r="N139" s="39">
        <f>INDEX(Inventory!E:E,MATCH(K139, Inventory!A:A),1)</f>
        <v>43493</v>
      </c>
      <c r="O139" s="40">
        <f t="shared" si="72"/>
        <v>1800</v>
      </c>
      <c r="P139" s="41">
        <f t="shared" si="73"/>
        <v>24.162777777777777</v>
      </c>
      <c r="Q139" s="41" cm="1">
        <f t="array" ref="Q139">MAX(IF($A:$A=$A139, $P:$P))</f>
        <v>24.162777777777777</v>
      </c>
      <c r="R139" s="113" t="s">
        <v>761</v>
      </c>
      <c r="S139" s="116">
        <v>1</v>
      </c>
      <c r="T139" s="117"/>
      <c r="U139" s="39">
        <f>IF(S139 &gt; 0,INDEX(Inventory!E:E,MATCH(R139, Inventory!A:A),1), "")</f>
        <v>1051</v>
      </c>
      <c r="V139" s="40">
        <f t="shared" si="74"/>
        <v>1800</v>
      </c>
      <c r="W139" s="41">
        <f t="shared" si="75"/>
        <v>0.5838888888888889</v>
      </c>
      <c r="X139" t="s">
        <v>728</v>
      </c>
      <c r="Y139" s="24">
        <v>1</v>
      </c>
      <c r="Z139" s="38"/>
      <c r="AA139" s="39">
        <f>IF(Y139&gt;0, INDEX(Inventory!E:E,MATCH(X139, Inventory!A:A),1), "")</f>
        <v>4281</v>
      </c>
      <c r="AB139" s="42">
        <f t="shared" si="76"/>
        <v>1800</v>
      </c>
      <c r="AC139" s="41">
        <f t="shared" si="77"/>
        <v>2.3783333333333334</v>
      </c>
      <c r="AD139" s="114">
        <f t="shared" si="78"/>
        <v>0</v>
      </c>
      <c r="AE139" s="7">
        <f t="shared" si="79"/>
        <v>0</v>
      </c>
      <c r="AF139" s="7">
        <f t="shared" si="80"/>
        <v>0</v>
      </c>
      <c r="AG139" s="43">
        <f t="shared" si="81"/>
        <v>0</v>
      </c>
      <c r="AH139" s="43">
        <f t="shared" si="82"/>
        <v>0</v>
      </c>
      <c r="AI139" s="43">
        <f t="shared" si="83"/>
        <v>10510</v>
      </c>
    </row>
    <row r="140" spans="1:35" x14ac:dyDescent="0.25">
      <c r="A140" s="113" t="s">
        <v>209</v>
      </c>
      <c r="C140" t="s">
        <v>894</v>
      </c>
      <c r="D140" t="s">
        <v>838</v>
      </c>
      <c r="F140" s="34">
        <v>10</v>
      </c>
      <c r="G140" s="54">
        <f t="shared" si="70"/>
        <v>0</v>
      </c>
      <c r="H140" s="36">
        <f t="shared" si="71"/>
        <v>10510</v>
      </c>
      <c r="I140" s="37">
        <v>18000</v>
      </c>
      <c r="J140" s="140">
        <v>3</v>
      </c>
      <c r="K140" t="s">
        <v>749</v>
      </c>
      <c r="L140" s="24">
        <v>1</v>
      </c>
      <c r="M140" s="45"/>
      <c r="N140" s="56">
        <f>INDEX(Inventory!E:E,MATCH(K140, Inventory!A:A),1)</f>
        <v>15499</v>
      </c>
      <c r="O140" s="40">
        <f t="shared" si="72"/>
        <v>1800</v>
      </c>
      <c r="P140" s="41">
        <f t="shared" si="73"/>
        <v>8.6105555555555551</v>
      </c>
      <c r="Q140" s="41" cm="1">
        <f t="array" ref="Q140">MAX(IF($A:$A=$A140, $P:$P))</f>
        <v>24.162777777777777</v>
      </c>
      <c r="R140" s="113" t="s">
        <v>761</v>
      </c>
      <c r="S140" s="116">
        <v>1</v>
      </c>
      <c r="T140" s="117"/>
      <c r="U140" s="56">
        <f>IF(S140 &gt; 0,INDEX(Inventory!E:E,MATCH(R140, Inventory!A:A),1), "")</f>
        <v>1051</v>
      </c>
      <c r="V140" s="40">
        <f t="shared" si="74"/>
        <v>1800</v>
      </c>
      <c r="W140" s="41">
        <f t="shared" si="75"/>
        <v>0.5838888888888889</v>
      </c>
      <c r="X140" t="s">
        <v>728</v>
      </c>
      <c r="Y140" s="24">
        <v>1</v>
      </c>
      <c r="Z140" s="38"/>
      <c r="AA140" s="56">
        <f>IF(Y140&gt;0, INDEX(Inventory!E:E,MATCH(X140, Inventory!A:A),1), "")</f>
        <v>4281</v>
      </c>
      <c r="AB140" s="42">
        <f t="shared" si="76"/>
        <v>1800</v>
      </c>
      <c r="AC140" s="41">
        <f t="shared" si="77"/>
        <v>2.3783333333333334</v>
      </c>
      <c r="AD140" s="114">
        <f t="shared" si="78"/>
        <v>0</v>
      </c>
      <c r="AE140" s="7">
        <f t="shared" si="79"/>
        <v>0</v>
      </c>
      <c r="AF140" s="7">
        <f t="shared" si="80"/>
        <v>0</v>
      </c>
      <c r="AG140" s="43">
        <f t="shared" si="81"/>
        <v>0</v>
      </c>
      <c r="AH140" s="43">
        <f t="shared" si="82"/>
        <v>0</v>
      </c>
      <c r="AI140" s="43">
        <f t="shared" si="83"/>
        <v>10510</v>
      </c>
    </row>
    <row r="141" spans="1:35" x14ac:dyDescent="0.25">
      <c r="A141" s="113" t="s">
        <v>209</v>
      </c>
      <c r="C141" t="s">
        <v>894</v>
      </c>
      <c r="D141" t="s">
        <v>838</v>
      </c>
      <c r="F141" s="34">
        <v>10</v>
      </c>
      <c r="G141" s="54">
        <f t="shared" si="70"/>
        <v>0</v>
      </c>
      <c r="H141" s="36">
        <f t="shared" si="71"/>
        <v>10510</v>
      </c>
      <c r="I141" s="37">
        <v>18000</v>
      </c>
      <c r="J141" s="140">
        <v>3</v>
      </c>
      <c r="K141" t="s">
        <v>198</v>
      </c>
      <c r="L141" s="24">
        <v>1</v>
      </c>
      <c r="M141" s="45"/>
      <c r="N141" s="56">
        <f>INDEX(Inventory!E:E,MATCH(K141, Inventory!A:A),1)</f>
        <v>9166</v>
      </c>
      <c r="O141" s="40">
        <f t="shared" si="72"/>
        <v>1800</v>
      </c>
      <c r="P141" s="41">
        <f t="shared" si="73"/>
        <v>5.0922222222222224</v>
      </c>
      <c r="Q141" s="41" cm="1">
        <f t="array" ref="Q141">MAX(IF($A:$A=$A141, $P:$P))</f>
        <v>24.162777777777777</v>
      </c>
      <c r="R141" s="113" t="s">
        <v>761</v>
      </c>
      <c r="S141" s="116">
        <v>1</v>
      </c>
      <c r="T141" s="117"/>
      <c r="U141" s="56">
        <f>IF(S141 &gt; 0,INDEX(Inventory!E:E,MATCH(R141, Inventory!A:A),1), "")</f>
        <v>1051</v>
      </c>
      <c r="V141" s="40">
        <f t="shared" si="74"/>
        <v>1800</v>
      </c>
      <c r="W141" s="41">
        <f t="shared" si="75"/>
        <v>0.5838888888888889</v>
      </c>
      <c r="X141" t="s">
        <v>728</v>
      </c>
      <c r="Y141" s="24">
        <v>1</v>
      </c>
      <c r="Z141" s="38"/>
      <c r="AA141" s="56">
        <f>IF(Y141&gt;0, INDEX(Inventory!E:E,MATCH(X141, Inventory!A:A),1), "")</f>
        <v>4281</v>
      </c>
      <c r="AB141" s="42">
        <f t="shared" si="76"/>
        <v>1800</v>
      </c>
      <c r="AC141" s="41">
        <f t="shared" si="77"/>
        <v>2.3783333333333334</v>
      </c>
      <c r="AD141" s="114">
        <f t="shared" si="78"/>
        <v>0</v>
      </c>
      <c r="AE141" s="7">
        <f t="shared" si="79"/>
        <v>0</v>
      </c>
      <c r="AF141" s="7">
        <f t="shared" si="80"/>
        <v>0</v>
      </c>
      <c r="AG141" s="43">
        <f t="shared" si="81"/>
        <v>0</v>
      </c>
      <c r="AH141" s="43">
        <f t="shared" si="82"/>
        <v>0</v>
      </c>
      <c r="AI141" s="43">
        <f t="shared" si="83"/>
        <v>10510</v>
      </c>
    </row>
    <row r="142" spans="1:35" x14ac:dyDescent="0.25">
      <c r="A142" s="113" t="s">
        <v>209</v>
      </c>
      <c r="C142" t="s">
        <v>894</v>
      </c>
      <c r="D142" t="s">
        <v>838</v>
      </c>
      <c r="F142" s="34">
        <v>10</v>
      </c>
      <c r="G142" s="54">
        <f t="shared" si="70"/>
        <v>0</v>
      </c>
      <c r="H142" s="36">
        <f t="shared" si="71"/>
        <v>10510</v>
      </c>
      <c r="I142" s="37">
        <v>18000</v>
      </c>
      <c r="J142" s="140">
        <v>3</v>
      </c>
      <c r="K142" t="s">
        <v>199</v>
      </c>
      <c r="L142" s="24">
        <v>1</v>
      </c>
      <c r="M142" s="45"/>
      <c r="N142" s="56">
        <f>INDEX(Inventory!E:E,MATCH(K142, Inventory!A:A),1)</f>
        <v>19168</v>
      </c>
      <c r="O142" s="40">
        <f t="shared" si="72"/>
        <v>1800</v>
      </c>
      <c r="P142" s="41">
        <f t="shared" si="73"/>
        <v>10.648888888888889</v>
      </c>
      <c r="Q142" s="41" cm="1">
        <f t="array" ref="Q142">MAX(IF($A:$A=$A142, $P:$P))</f>
        <v>24.162777777777777</v>
      </c>
      <c r="R142" s="113" t="s">
        <v>761</v>
      </c>
      <c r="S142" s="116">
        <v>1</v>
      </c>
      <c r="T142" s="117"/>
      <c r="U142" s="56">
        <f>IF(S142 &gt; 0,INDEX(Inventory!E:E,MATCH(R142, Inventory!A:A),1), "")</f>
        <v>1051</v>
      </c>
      <c r="V142" s="40">
        <f t="shared" si="74"/>
        <v>1800</v>
      </c>
      <c r="W142" s="41">
        <f t="shared" si="75"/>
        <v>0.5838888888888889</v>
      </c>
      <c r="X142" t="s">
        <v>728</v>
      </c>
      <c r="Y142" s="24">
        <v>1</v>
      </c>
      <c r="Z142" s="38"/>
      <c r="AA142" s="56">
        <f>IF(Y142&gt;0, INDEX(Inventory!E:E,MATCH(X142, Inventory!A:A),1), "")</f>
        <v>4281</v>
      </c>
      <c r="AB142" s="42">
        <f t="shared" si="76"/>
        <v>1800</v>
      </c>
      <c r="AC142" s="41">
        <f t="shared" si="77"/>
        <v>2.3783333333333334</v>
      </c>
      <c r="AD142" s="114">
        <f t="shared" si="78"/>
        <v>0</v>
      </c>
      <c r="AE142" s="7">
        <f t="shared" si="79"/>
        <v>0</v>
      </c>
      <c r="AF142" s="7">
        <f t="shared" si="80"/>
        <v>0</v>
      </c>
      <c r="AG142" s="43">
        <f t="shared" si="81"/>
        <v>0</v>
      </c>
      <c r="AH142" s="43">
        <f t="shared" si="82"/>
        <v>0</v>
      </c>
      <c r="AI142" s="43">
        <f t="shared" si="83"/>
        <v>10510</v>
      </c>
    </row>
    <row r="143" spans="1:35" x14ac:dyDescent="0.25">
      <c r="A143" s="113" t="s">
        <v>209</v>
      </c>
      <c r="C143" t="s">
        <v>894</v>
      </c>
      <c r="D143" t="s">
        <v>838</v>
      </c>
      <c r="F143" s="34">
        <v>2</v>
      </c>
      <c r="G143" s="54">
        <f t="shared" si="70"/>
        <v>0</v>
      </c>
      <c r="H143" s="36">
        <f t="shared" si="71"/>
        <v>2102</v>
      </c>
      <c r="I143" s="37">
        <v>18000</v>
      </c>
      <c r="J143" s="140">
        <v>3</v>
      </c>
      <c r="K143" t="s">
        <v>761</v>
      </c>
      <c r="L143" s="24">
        <v>1</v>
      </c>
      <c r="M143" s="45"/>
      <c r="N143" s="56">
        <f>INDEX(Inventory!E:E,MATCH(K143, Inventory!A:A),1)</f>
        <v>1051</v>
      </c>
      <c r="O143" s="40">
        <f t="shared" si="72"/>
        <v>9000</v>
      </c>
      <c r="P143" s="41">
        <f t="shared" si="73"/>
        <v>0.11677777777777777</v>
      </c>
      <c r="Q143" s="41" cm="1">
        <f t="array" ref="Q143">MAX(IF($A:$A=$A143, $P:$P))</f>
        <v>24.162777777777777</v>
      </c>
      <c r="R143" s="113" t="s">
        <v>728</v>
      </c>
      <c r="S143" s="116">
        <v>1</v>
      </c>
      <c r="T143" s="117"/>
      <c r="U143" s="56">
        <f>IF(S143 &gt; 0,INDEX(Inventory!E:E,MATCH(R143, Inventory!A:A),1), "")</f>
        <v>4281</v>
      </c>
      <c r="V143" s="40">
        <f t="shared" si="74"/>
        <v>9000</v>
      </c>
      <c r="W143" s="41">
        <f t="shared" si="75"/>
        <v>0.47566666666666668</v>
      </c>
      <c r="X143" t="s">
        <v>209</v>
      </c>
      <c r="Y143" s="24">
        <v>2</v>
      </c>
      <c r="Z143" s="38"/>
      <c r="AA143" s="56">
        <f>IF(Y143&gt;0, INDEX(Inventory!E:E,MATCH(X143, Inventory!A:A),1), "")</f>
        <v>9872</v>
      </c>
      <c r="AB143" s="42">
        <f t="shared" si="76"/>
        <v>18000</v>
      </c>
      <c r="AC143" s="41">
        <f t="shared" si="77"/>
        <v>0.5484444444444444</v>
      </c>
      <c r="AD143" s="114">
        <f t="shared" si="78"/>
        <v>0</v>
      </c>
      <c r="AE143" s="7">
        <f t="shared" si="79"/>
        <v>0</v>
      </c>
      <c r="AF143" s="7">
        <f t="shared" si="80"/>
        <v>0</v>
      </c>
      <c r="AG143" s="43">
        <f t="shared" si="81"/>
        <v>0</v>
      </c>
      <c r="AH143" s="43">
        <f t="shared" si="82"/>
        <v>0</v>
      </c>
      <c r="AI143" s="43">
        <f t="shared" si="83"/>
        <v>2102</v>
      </c>
    </row>
    <row r="144" spans="1:35" x14ac:dyDescent="0.25">
      <c r="A144" s="113" t="s">
        <v>209</v>
      </c>
      <c r="C144" t="s">
        <v>894</v>
      </c>
      <c r="D144" t="s">
        <v>838</v>
      </c>
      <c r="F144" s="34">
        <v>2</v>
      </c>
      <c r="G144" s="54">
        <f t="shared" si="70"/>
        <v>0</v>
      </c>
      <c r="H144" s="36">
        <f t="shared" si="71"/>
        <v>2102</v>
      </c>
      <c r="I144" s="37">
        <v>18000</v>
      </c>
      <c r="J144" s="140">
        <v>2</v>
      </c>
      <c r="K144" t="s">
        <v>761</v>
      </c>
      <c r="L144" s="24">
        <v>1</v>
      </c>
      <c r="M144" s="45"/>
      <c r="N144" s="56">
        <f>INDEX(Inventory!E:E,MATCH(K144, Inventory!A:A),1)</f>
        <v>1051</v>
      </c>
      <c r="O144" s="40">
        <f t="shared" si="72"/>
        <v>9000</v>
      </c>
      <c r="P144" s="41">
        <f t="shared" si="73"/>
        <v>0.11677777777777777</v>
      </c>
      <c r="Q144" s="41" cm="1">
        <f t="array" ref="Q144">MAX(IF($A:$A=$A144, $P:$P))</f>
        <v>24.162777777777777</v>
      </c>
      <c r="R144" s="113" t="s">
        <v>723</v>
      </c>
      <c r="S144" s="116">
        <v>1</v>
      </c>
      <c r="T144" s="117"/>
      <c r="U144" s="56">
        <f>IF(S144 &gt; 0,INDEX(Inventory!E:E,MATCH(R144, Inventory!A:A),1), "")</f>
        <v>1926</v>
      </c>
      <c r="V144" s="40">
        <f t="shared" si="74"/>
        <v>9000</v>
      </c>
      <c r="W144" s="41">
        <f t="shared" si="75"/>
        <v>0.214</v>
      </c>
      <c r="Z144" s="38"/>
      <c r="AA144" s="56" t="str">
        <f>IF(Y144&gt;0, INDEX(Inventory!E:E,MATCH(X144, Inventory!A:A),1), "")</f>
        <v/>
      </c>
      <c r="AB144" s="42">
        <f t="shared" si="76"/>
        <v>0</v>
      </c>
      <c r="AC144" s="41">
        <f t="shared" si="77"/>
        <v>0</v>
      </c>
      <c r="AD144" s="114">
        <f t="shared" si="78"/>
        <v>0</v>
      </c>
      <c r="AE144" s="7">
        <f t="shared" si="79"/>
        <v>0</v>
      </c>
      <c r="AF144" s="7">
        <f t="shared" si="80"/>
        <v>0</v>
      </c>
      <c r="AG144" s="43">
        <f t="shared" si="81"/>
        <v>0</v>
      </c>
      <c r="AH144" s="43">
        <f t="shared" si="82"/>
        <v>2102</v>
      </c>
      <c r="AI144" s="43">
        <f t="shared" si="83"/>
        <v>0</v>
      </c>
    </row>
    <row r="145" spans="1:35" x14ac:dyDescent="0.25">
      <c r="A145" s="113" t="s">
        <v>209</v>
      </c>
      <c r="C145" t="s">
        <v>894</v>
      </c>
      <c r="D145" t="s">
        <v>838</v>
      </c>
      <c r="F145" s="34">
        <v>1</v>
      </c>
      <c r="G145" s="54">
        <f t="shared" si="70"/>
        <v>0</v>
      </c>
      <c r="H145" s="36">
        <f t="shared" si="71"/>
        <v>1051</v>
      </c>
      <c r="I145" s="37">
        <v>18000</v>
      </c>
      <c r="J145" s="140">
        <v>1</v>
      </c>
      <c r="K145" t="s">
        <v>761</v>
      </c>
      <c r="L145" s="24">
        <v>1</v>
      </c>
      <c r="M145" s="38"/>
      <c r="N145" s="56">
        <f>INDEX(Inventory!E:E,MATCH(K145, Inventory!A:A),1)</f>
        <v>1051</v>
      </c>
      <c r="O145" s="40">
        <f t="shared" si="72"/>
        <v>18000</v>
      </c>
      <c r="P145" s="41">
        <f t="shared" si="73"/>
        <v>5.8388888888888886E-2</v>
      </c>
      <c r="Q145" s="41" cm="1">
        <f t="array" ref="Q145">MAX(IF($A:$A=$A145, $P:$P))</f>
        <v>24.162777777777777</v>
      </c>
      <c r="R145" s="113"/>
      <c r="S145" s="116"/>
      <c r="T145" s="117"/>
      <c r="U145" s="56" t="str">
        <f>IF(S145 &gt; 0,INDEX(Inventory!E:E,MATCH(R145, Inventory!A:A),1), "")</f>
        <v/>
      </c>
      <c r="V145" s="40">
        <f t="shared" si="74"/>
        <v>0</v>
      </c>
      <c r="W145" s="41">
        <f t="shared" si="75"/>
        <v>0</v>
      </c>
      <c r="Z145" s="38"/>
      <c r="AA145" s="56" t="str">
        <f>IF(Y145&gt;0, INDEX(Inventory!E:E,MATCH(X145, Inventory!A:A),1), "")</f>
        <v/>
      </c>
      <c r="AB145" s="42">
        <f t="shared" si="76"/>
        <v>0</v>
      </c>
      <c r="AC145" s="41">
        <f t="shared" si="77"/>
        <v>0</v>
      </c>
      <c r="AD145" s="114">
        <f t="shared" si="78"/>
        <v>0</v>
      </c>
      <c r="AE145" s="7">
        <f t="shared" si="79"/>
        <v>0</v>
      </c>
      <c r="AF145" s="7">
        <f t="shared" si="80"/>
        <v>0</v>
      </c>
      <c r="AG145" s="43">
        <f t="shared" si="81"/>
        <v>1051</v>
      </c>
      <c r="AH145" s="43">
        <f t="shared" si="82"/>
        <v>0</v>
      </c>
      <c r="AI145" s="43">
        <f t="shared" si="83"/>
        <v>0</v>
      </c>
    </row>
    <row r="146" spans="1:35" x14ac:dyDescent="0.25">
      <c r="A146" s="113" t="s">
        <v>192</v>
      </c>
      <c r="C146" t="s">
        <v>837</v>
      </c>
      <c r="D146" t="s">
        <v>838</v>
      </c>
      <c r="E146" t="s">
        <v>720</v>
      </c>
      <c r="F146" s="34">
        <v>1</v>
      </c>
      <c r="G146" s="54">
        <f t="shared" si="70"/>
        <v>0</v>
      </c>
      <c r="H146" s="36">
        <f t="shared" si="71"/>
        <v>708</v>
      </c>
      <c r="I146" s="37">
        <v>3600</v>
      </c>
      <c r="J146" s="140">
        <v>2</v>
      </c>
      <c r="K146" t="s">
        <v>194</v>
      </c>
      <c r="L146" s="24">
        <v>2</v>
      </c>
      <c r="M146" s="38"/>
      <c r="N146" s="56">
        <f>INDEX(Inventory!E:E,MATCH(K146, Inventory!A:A),1)</f>
        <v>1416</v>
      </c>
      <c r="O146" s="40">
        <f t="shared" si="72"/>
        <v>7200</v>
      </c>
      <c r="P146" s="41">
        <f t="shared" si="73"/>
        <v>0.19666666666666666</v>
      </c>
      <c r="Q146" s="41" cm="1">
        <f t="array" ref="Q146">MAX(IF($A:$A=$A146, $P:$P))</f>
        <v>342.31388888888887</v>
      </c>
      <c r="R146" s="113" t="s">
        <v>743</v>
      </c>
      <c r="S146" s="116">
        <v>1</v>
      </c>
      <c r="T146" s="117"/>
      <c r="U146" s="56">
        <f>IF(S146 &gt; 0,INDEX(Inventory!E:E,MATCH(R146, Inventory!A:A),1), "")</f>
        <v>7926</v>
      </c>
      <c r="V146" s="40">
        <f t="shared" si="74"/>
        <v>3600</v>
      </c>
      <c r="W146" s="41">
        <f t="shared" si="75"/>
        <v>2.2016666666666667</v>
      </c>
      <c r="Z146" s="38"/>
      <c r="AA146" s="56" t="str">
        <f>IF(Y146&gt;0, INDEX(Inventory!E:E,MATCH(X146, Inventory!A:A),1), "")</f>
        <v/>
      </c>
      <c r="AB146" s="42">
        <f t="shared" si="76"/>
        <v>0</v>
      </c>
      <c r="AC146" s="41">
        <f t="shared" si="77"/>
        <v>0</v>
      </c>
      <c r="AD146" s="114">
        <f t="shared" si="78"/>
        <v>0</v>
      </c>
      <c r="AE146" s="7">
        <f t="shared" si="79"/>
        <v>0</v>
      </c>
      <c r="AF146" s="7">
        <f t="shared" si="80"/>
        <v>0</v>
      </c>
      <c r="AG146" s="43">
        <f t="shared" si="81"/>
        <v>0</v>
      </c>
      <c r="AH146" s="43">
        <f t="shared" si="82"/>
        <v>708</v>
      </c>
      <c r="AI146" s="43">
        <f t="shared" si="83"/>
        <v>0</v>
      </c>
    </row>
    <row r="147" spans="1:35" x14ac:dyDescent="0.25">
      <c r="A147" s="113" t="s">
        <v>192</v>
      </c>
      <c r="C147" t="s">
        <v>837</v>
      </c>
      <c r="D147" t="s">
        <v>838</v>
      </c>
      <c r="E147" t="s">
        <v>720</v>
      </c>
      <c r="F147" s="46">
        <v>1</v>
      </c>
      <c r="G147" s="50">
        <f t="shared" si="70"/>
        <v>0</v>
      </c>
      <c r="H147" s="36">
        <f t="shared" si="71"/>
        <v>974</v>
      </c>
      <c r="I147" s="37">
        <v>3600</v>
      </c>
      <c r="J147" s="140">
        <v>2</v>
      </c>
      <c r="K147" t="s">
        <v>789</v>
      </c>
      <c r="L147" s="24">
        <v>1</v>
      </c>
      <c r="M147" s="45"/>
      <c r="N147" s="69">
        <f>INDEX(Inventory!E:E,MATCH(K147, Inventory!A:A),1)</f>
        <v>974</v>
      </c>
      <c r="O147" s="48">
        <f t="shared" si="72"/>
        <v>3600</v>
      </c>
      <c r="P147" s="41">
        <f t="shared" si="73"/>
        <v>0.27055555555555555</v>
      </c>
      <c r="Q147" s="41" cm="1">
        <f t="array" ref="Q147">MAX(IF($A:$A=$A147, $P:$P))</f>
        <v>342.31388888888887</v>
      </c>
      <c r="R147" s="113" t="s">
        <v>743</v>
      </c>
      <c r="S147" s="116">
        <v>1</v>
      </c>
      <c r="T147" s="117"/>
      <c r="U147" s="69">
        <f>IF(S147 &gt; 0,INDEX(Inventory!E:E,MATCH(R147, Inventory!A:A),1), "")</f>
        <v>7926</v>
      </c>
      <c r="V147" s="48">
        <f t="shared" si="74"/>
        <v>3600</v>
      </c>
      <c r="W147" s="41">
        <f t="shared" si="75"/>
        <v>2.2016666666666667</v>
      </c>
      <c r="Z147" s="38"/>
      <c r="AA147" s="69" t="str">
        <f>IF(Y147&gt;0, INDEX(Inventory!E:E,MATCH(X147, Inventory!A:A),1), "")</f>
        <v/>
      </c>
      <c r="AB147" s="49">
        <f t="shared" si="76"/>
        <v>0</v>
      </c>
      <c r="AC147" s="41">
        <f t="shared" si="77"/>
        <v>0</v>
      </c>
      <c r="AD147" s="114">
        <f t="shared" si="78"/>
        <v>0</v>
      </c>
      <c r="AE147" s="7">
        <f t="shared" si="79"/>
        <v>0</v>
      </c>
      <c r="AF147" s="7">
        <f t="shared" si="80"/>
        <v>0</v>
      </c>
      <c r="AG147" s="43">
        <f t="shared" si="81"/>
        <v>0</v>
      </c>
      <c r="AH147" s="43">
        <f t="shared" si="82"/>
        <v>974</v>
      </c>
      <c r="AI147" s="43">
        <f t="shared" si="83"/>
        <v>0</v>
      </c>
    </row>
    <row r="148" spans="1:35" x14ac:dyDescent="0.25">
      <c r="A148" s="113" t="s">
        <v>192</v>
      </c>
      <c r="C148" t="s">
        <v>837</v>
      </c>
      <c r="D148" t="s">
        <v>838</v>
      </c>
      <c r="E148" t="s">
        <v>720</v>
      </c>
      <c r="F148" s="46">
        <v>3</v>
      </c>
      <c r="G148" s="50">
        <f t="shared" si="70"/>
        <v>0</v>
      </c>
      <c r="H148" s="36">
        <f t="shared" si="71"/>
        <v>2922</v>
      </c>
      <c r="I148" s="37">
        <v>3600</v>
      </c>
      <c r="J148" s="140">
        <v>2</v>
      </c>
      <c r="K148" t="s">
        <v>789</v>
      </c>
      <c r="L148" s="24">
        <v>1</v>
      </c>
      <c r="M148" s="45"/>
      <c r="N148" s="39">
        <f>INDEX(Inventory!E:E,MATCH(K148, Inventory!A:A),1)</f>
        <v>974</v>
      </c>
      <c r="O148" s="48">
        <f t="shared" si="72"/>
        <v>1200</v>
      </c>
      <c r="P148" s="41">
        <f t="shared" si="73"/>
        <v>0.81166666666666665</v>
      </c>
      <c r="Q148" s="41" cm="1">
        <f t="array" ref="Q148">MAX(IF($A:$A=$A148, $P:$P))</f>
        <v>342.31388888888887</v>
      </c>
      <c r="R148" s="113" t="s">
        <v>191</v>
      </c>
      <c r="S148" s="116">
        <v>1</v>
      </c>
      <c r="T148" s="117"/>
      <c r="U148" s="69">
        <f>IF(S148 &gt; 0,INDEX(Inventory!E:E,MATCH(R148, Inventory!A:A),1), "")</f>
        <v>3084</v>
      </c>
      <c r="V148" s="40">
        <f t="shared" si="74"/>
        <v>1200</v>
      </c>
      <c r="W148" s="41">
        <f t="shared" si="75"/>
        <v>2.57</v>
      </c>
      <c r="Z148" s="38"/>
      <c r="AA148" s="69" t="str">
        <f>IF(Y148&gt;0, INDEX(Inventory!E:E,MATCH(X148, Inventory!A:A),1), "")</f>
        <v/>
      </c>
      <c r="AB148" s="49">
        <f t="shared" si="76"/>
        <v>0</v>
      </c>
      <c r="AC148" s="41">
        <f t="shared" si="77"/>
        <v>0</v>
      </c>
      <c r="AD148" s="114">
        <f t="shared" si="78"/>
        <v>0</v>
      </c>
      <c r="AE148" s="7">
        <f t="shared" si="79"/>
        <v>0</v>
      </c>
      <c r="AF148" s="7">
        <f t="shared" si="80"/>
        <v>0</v>
      </c>
      <c r="AG148" s="43">
        <f t="shared" si="81"/>
        <v>0</v>
      </c>
      <c r="AH148" s="43">
        <f t="shared" si="82"/>
        <v>2922</v>
      </c>
      <c r="AI148" s="43">
        <f t="shared" si="83"/>
        <v>0</v>
      </c>
    </row>
    <row r="149" spans="1:35" x14ac:dyDescent="0.25">
      <c r="A149" s="113" t="s">
        <v>192</v>
      </c>
      <c r="C149" t="s">
        <v>837</v>
      </c>
      <c r="D149" t="s">
        <v>838</v>
      </c>
      <c r="E149" t="s">
        <v>720</v>
      </c>
      <c r="F149" s="46">
        <v>2</v>
      </c>
      <c r="G149" s="50">
        <f t="shared" si="70"/>
        <v>0</v>
      </c>
      <c r="H149" s="36">
        <f t="shared" si="71"/>
        <v>19744</v>
      </c>
      <c r="I149" s="37">
        <v>3600</v>
      </c>
      <c r="J149" s="140">
        <v>2</v>
      </c>
      <c r="K149" t="s">
        <v>196</v>
      </c>
      <c r="L149" s="24">
        <v>1</v>
      </c>
      <c r="M149" s="45"/>
      <c r="N149" s="69">
        <f>INDEX(Inventory!E:E,MATCH(K149, Inventory!A:A),1)</f>
        <v>616165</v>
      </c>
      <c r="O149" s="48">
        <f t="shared" si="72"/>
        <v>1800</v>
      </c>
      <c r="P149" s="41">
        <f t="shared" si="73"/>
        <v>342.31388888888887</v>
      </c>
      <c r="Q149" s="41" cm="1">
        <f t="array" ref="Q149">MAX(IF($A:$A=$A149, $P:$P))</f>
        <v>342.31388888888887</v>
      </c>
      <c r="R149" s="113" t="s">
        <v>209</v>
      </c>
      <c r="S149" s="116">
        <v>1</v>
      </c>
      <c r="T149" s="117"/>
      <c r="U149" s="69">
        <f>IF(S149 &gt; 0,INDEX(Inventory!E:E,MATCH(R149, Inventory!A:A),1), "")</f>
        <v>9872</v>
      </c>
      <c r="V149" s="48">
        <f t="shared" si="74"/>
        <v>1800</v>
      </c>
      <c r="W149" s="41">
        <f t="shared" si="75"/>
        <v>5.4844444444444447</v>
      </c>
      <c r="Z149" s="38"/>
      <c r="AA149" s="69" t="str">
        <f>IF(Y149&gt;0, INDEX(Inventory!E:E,MATCH(X149, Inventory!A:A),1), "")</f>
        <v/>
      </c>
      <c r="AB149" s="49">
        <f t="shared" si="76"/>
        <v>0</v>
      </c>
      <c r="AC149" s="41">
        <f t="shared" si="77"/>
        <v>0</v>
      </c>
      <c r="AD149" s="114">
        <f t="shared" si="78"/>
        <v>0</v>
      </c>
      <c r="AE149" s="7">
        <f t="shared" si="79"/>
        <v>0</v>
      </c>
      <c r="AF149" s="7">
        <f t="shared" si="80"/>
        <v>0</v>
      </c>
      <c r="AG149" s="43">
        <f t="shared" si="81"/>
        <v>0</v>
      </c>
      <c r="AH149" s="43">
        <f t="shared" si="82"/>
        <v>19744</v>
      </c>
      <c r="AI149" s="43">
        <f t="shared" si="83"/>
        <v>0</v>
      </c>
    </row>
    <row r="150" spans="1:35" x14ac:dyDescent="0.25">
      <c r="A150" s="113" t="s">
        <v>192</v>
      </c>
      <c r="C150" t="s">
        <v>837</v>
      </c>
      <c r="D150" t="s">
        <v>838</v>
      </c>
      <c r="E150" t="s">
        <v>720</v>
      </c>
      <c r="F150" s="34">
        <v>1</v>
      </c>
      <c r="G150" s="35">
        <f t="shared" si="70"/>
        <v>0</v>
      </c>
      <c r="H150" s="36">
        <f t="shared" si="71"/>
        <v>708</v>
      </c>
      <c r="I150" s="37">
        <v>3600</v>
      </c>
      <c r="J150" s="140">
        <v>2</v>
      </c>
      <c r="K150" t="s">
        <v>194</v>
      </c>
      <c r="L150" s="24">
        <v>2</v>
      </c>
      <c r="M150" s="38"/>
      <c r="N150" s="39">
        <f>INDEX(Inventory!E:E,MATCH(K150, Inventory!A:A),1)</f>
        <v>1416</v>
      </c>
      <c r="O150" s="40">
        <f t="shared" si="72"/>
        <v>7200</v>
      </c>
      <c r="P150" s="41">
        <f t="shared" si="73"/>
        <v>0.19666666666666666</v>
      </c>
      <c r="Q150" s="41" cm="1">
        <f t="array" ref="Q150">MAX(IF($A:$A=$A150, $P:$P))</f>
        <v>342.31388888888887</v>
      </c>
      <c r="R150" s="113" t="s">
        <v>778</v>
      </c>
      <c r="S150" s="116">
        <v>1</v>
      </c>
      <c r="T150" s="117"/>
      <c r="U150" s="39">
        <f>IF(S150 &gt; 0,INDEX(Inventory!E:E,MATCH(R150, Inventory!A:A),1), "")</f>
        <v>1356</v>
      </c>
      <c r="V150" s="40">
        <f t="shared" si="74"/>
        <v>3600</v>
      </c>
      <c r="W150" s="41">
        <f t="shared" si="75"/>
        <v>0.37666666666666665</v>
      </c>
      <c r="Z150" s="38"/>
      <c r="AA150" s="39" t="str">
        <f>IF(Y150&gt;0, INDEX(Inventory!E:E,MATCH(X150, Inventory!A:A),1), "")</f>
        <v/>
      </c>
      <c r="AB150" s="42">
        <f t="shared" si="76"/>
        <v>0</v>
      </c>
      <c r="AC150" s="41">
        <f t="shared" si="77"/>
        <v>0</v>
      </c>
      <c r="AD150" s="114">
        <f t="shared" si="78"/>
        <v>0</v>
      </c>
      <c r="AE150" s="7">
        <f t="shared" si="79"/>
        <v>0</v>
      </c>
      <c r="AF150" s="7">
        <f t="shared" si="80"/>
        <v>0</v>
      </c>
      <c r="AG150" s="43">
        <f t="shared" si="81"/>
        <v>0</v>
      </c>
      <c r="AH150" s="43">
        <f t="shared" si="82"/>
        <v>708</v>
      </c>
      <c r="AI150" s="43">
        <f t="shared" si="83"/>
        <v>0</v>
      </c>
    </row>
    <row r="151" spans="1:35" x14ac:dyDescent="0.25">
      <c r="A151" s="113" t="s">
        <v>192</v>
      </c>
      <c r="C151" t="s">
        <v>837</v>
      </c>
      <c r="D151" t="s">
        <v>838</v>
      </c>
      <c r="E151" t="s">
        <v>720</v>
      </c>
      <c r="F151" s="34">
        <v>2</v>
      </c>
      <c r="G151" s="55">
        <f t="shared" si="70"/>
        <v>0</v>
      </c>
      <c r="H151" s="36">
        <f t="shared" si="71"/>
        <v>1948</v>
      </c>
      <c r="I151" s="37">
        <v>3600</v>
      </c>
      <c r="J151" s="140">
        <v>2</v>
      </c>
      <c r="K151" t="s">
        <v>789</v>
      </c>
      <c r="L151" s="24">
        <v>1</v>
      </c>
      <c r="M151" s="45"/>
      <c r="N151" s="56">
        <f>INDEX(Inventory!E:E,MATCH(K151, Inventory!A:A),1)</f>
        <v>974</v>
      </c>
      <c r="O151" s="48">
        <f t="shared" si="72"/>
        <v>1800</v>
      </c>
      <c r="P151" s="41">
        <f t="shared" si="73"/>
        <v>0.5411111111111111</v>
      </c>
      <c r="Q151" s="41" cm="1">
        <f t="array" ref="Q151">MAX(IF($A:$A=$A151, $P:$P))</f>
        <v>342.31388888888887</v>
      </c>
      <c r="R151" s="113" t="s">
        <v>778</v>
      </c>
      <c r="S151" s="116">
        <v>1</v>
      </c>
      <c r="T151" s="117"/>
      <c r="U151" s="56">
        <f>IF(S151 &gt; 0,INDEX(Inventory!E:E,MATCH(R151, Inventory!A:A),1), "")</f>
        <v>1356</v>
      </c>
      <c r="V151" s="40">
        <f t="shared" si="74"/>
        <v>1800</v>
      </c>
      <c r="W151" s="41">
        <f t="shared" si="75"/>
        <v>0.7533333333333333</v>
      </c>
      <c r="Z151" s="38"/>
      <c r="AA151" s="58" t="str">
        <f>IF(Y151&gt;0, INDEX(Inventory!E:E,MATCH(X151, Inventory!A:A),1), "")</f>
        <v/>
      </c>
      <c r="AB151" s="49">
        <f t="shared" si="76"/>
        <v>0</v>
      </c>
      <c r="AC151" s="41">
        <f t="shared" si="77"/>
        <v>0</v>
      </c>
      <c r="AD151" s="114">
        <f t="shared" si="78"/>
        <v>0</v>
      </c>
      <c r="AE151" s="7">
        <f t="shared" si="79"/>
        <v>0</v>
      </c>
      <c r="AF151" s="7">
        <f t="shared" si="80"/>
        <v>0</v>
      </c>
      <c r="AG151" s="43">
        <f t="shared" si="81"/>
        <v>0</v>
      </c>
      <c r="AH151" s="43">
        <f t="shared" si="82"/>
        <v>1948</v>
      </c>
      <c r="AI151" s="43">
        <f t="shared" si="83"/>
        <v>0</v>
      </c>
    </row>
    <row r="152" spans="1:35" x14ac:dyDescent="0.25">
      <c r="A152" s="113" t="s">
        <v>192</v>
      </c>
      <c r="C152" t="s">
        <v>837</v>
      </c>
      <c r="D152" t="s">
        <v>838</v>
      </c>
      <c r="E152" t="s">
        <v>720</v>
      </c>
      <c r="F152" s="34">
        <v>1</v>
      </c>
      <c r="G152" s="35">
        <f t="shared" si="70"/>
        <v>0</v>
      </c>
      <c r="H152" s="36">
        <f t="shared" si="71"/>
        <v>9584</v>
      </c>
      <c r="I152" s="37">
        <v>3600</v>
      </c>
      <c r="J152" s="140">
        <v>2</v>
      </c>
      <c r="K152" t="s">
        <v>199</v>
      </c>
      <c r="L152" s="24">
        <v>2</v>
      </c>
      <c r="M152" s="38"/>
      <c r="N152" s="39">
        <f>INDEX(Inventory!E:E,MATCH(K152, Inventory!A:A),1)</f>
        <v>19168</v>
      </c>
      <c r="O152" s="40">
        <f t="shared" si="72"/>
        <v>7200</v>
      </c>
      <c r="P152" s="41">
        <f t="shared" si="73"/>
        <v>2.6622222222222223</v>
      </c>
      <c r="Q152" s="41" cm="1">
        <f t="array" ref="Q152">MAX(IF($A:$A=$A152, $P:$P))</f>
        <v>342.31388888888887</v>
      </c>
      <c r="R152" s="113" t="s">
        <v>195</v>
      </c>
      <c r="S152" s="116">
        <v>1</v>
      </c>
      <c r="T152" s="117"/>
      <c r="U152" s="39">
        <f>IF(S152 &gt; 0,INDEX(Inventory!E:E,MATCH(R152, Inventory!A:A),1), "")</f>
        <v>15125</v>
      </c>
      <c r="V152" s="40">
        <f t="shared" si="74"/>
        <v>3600</v>
      </c>
      <c r="W152" s="41">
        <f t="shared" si="75"/>
        <v>4.2013888888888893</v>
      </c>
      <c r="Z152" s="38"/>
      <c r="AA152" s="39" t="str">
        <f>IF(Y152&gt;0, INDEX(Inventory!E:E,MATCH(X152, Inventory!A:A),1), "")</f>
        <v/>
      </c>
      <c r="AB152" s="42">
        <f t="shared" si="76"/>
        <v>0</v>
      </c>
      <c r="AC152" s="41">
        <f t="shared" si="77"/>
        <v>0</v>
      </c>
      <c r="AD152" s="114">
        <f t="shared" si="78"/>
        <v>0</v>
      </c>
      <c r="AE152" s="7">
        <f t="shared" si="79"/>
        <v>0</v>
      </c>
      <c r="AF152" s="7">
        <f t="shared" si="80"/>
        <v>0</v>
      </c>
      <c r="AG152" s="43">
        <f t="shared" si="81"/>
        <v>0</v>
      </c>
      <c r="AH152" s="43">
        <f t="shared" si="82"/>
        <v>9584</v>
      </c>
      <c r="AI152" s="43">
        <f t="shared" si="83"/>
        <v>0</v>
      </c>
    </row>
    <row r="153" spans="1:35" x14ac:dyDescent="0.25">
      <c r="A153" s="113" t="s">
        <v>774</v>
      </c>
      <c r="C153" t="s">
        <v>837</v>
      </c>
      <c r="D153" t="s">
        <v>838</v>
      </c>
      <c r="F153" s="34">
        <v>250</v>
      </c>
      <c r="G153" s="54">
        <f t="shared" si="70"/>
        <v>0</v>
      </c>
      <c r="H153" s="36">
        <f t="shared" si="71"/>
        <v>10750</v>
      </c>
      <c r="I153" s="51"/>
      <c r="J153" s="140">
        <v>1</v>
      </c>
      <c r="K153" t="s">
        <v>750</v>
      </c>
      <c r="L153" s="24">
        <v>1</v>
      </c>
      <c r="M153" s="38"/>
      <c r="N153" s="56">
        <f>INDEX(Inventory!E:E,MATCH(K153, Inventory!A:A),1)</f>
        <v>43</v>
      </c>
      <c r="O153" s="40">
        <f t="shared" si="72"/>
        <v>0</v>
      </c>
      <c r="P153" s="41">
        <f t="shared" si="73"/>
        <v>0</v>
      </c>
      <c r="Q153" s="41" cm="1">
        <f t="array" ref="Q153">MAX(IF($A:$A=$A153, $P:$P))</f>
        <v>0</v>
      </c>
      <c r="R153" s="113"/>
      <c r="S153" s="116"/>
      <c r="T153" s="117"/>
      <c r="U153" s="56" t="str">
        <f>IF(S153 &gt; 0,INDEX(Inventory!E:E,MATCH(R153, Inventory!A:A),1), "")</f>
        <v/>
      </c>
      <c r="V153" s="40">
        <f t="shared" si="74"/>
        <v>0</v>
      </c>
      <c r="W153" s="41">
        <f t="shared" si="75"/>
        <v>0</v>
      </c>
      <c r="Z153" s="38"/>
      <c r="AA153" s="56" t="str">
        <f>IF(Y153&gt;0, INDEX(Inventory!E:E,MATCH(X153, Inventory!A:A),1), "")</f>
        <v/>
      </c>
      <c r="AB153" s="42">
        <f t="shared" si="76"/>
        <v>0</v>
      </c>
      <c r="AC153" s="41">
        <f t="shared" si="77"/>
        <v>0</v>
      </c>
      <c r="AD153" s="114">
        <f t="shared" si="78"/>
        <v>0</v>
      </c>
      <c r="AE153" s="7">
        <f t="shared" si="79"/>
        <v>0</v>
      </c>
      <c r="AF153" s="7">
        <f t="shared" si="80"/>
        <v>0</v>
      </c>
      <c r="AG153" s="43">
        <f t="shared" si="81"/>
        <v>10750</v>
      </c>
      <c r="AH153" s="43">
        <f t="shared" si="82"/>
        <v>0</v>
      </c>
      <c r="AI153" s="43">
        <f t="shared" si="83"/>
        <v>0</v>
      </c>
    </row>
    <row r="154" spans="1:35" x14ac:dyDescent="0.25">
      <c r="A154" s="113" t="s">
        <v>774</v>
      </c>
      <c r="C154" t="s">
        <v>837</v>
      </c>
      <c r="D154" t="s">
        <v>838</v>
      </c>
      <c r="F154" s="34">
        <v>250</v>
      </c>
      <c r="G154" s="35">
        <f t="shared" si="70"/>
        <v>0</v>
      </c>
      <c r="H154" s="36">
        <f t="shared" si="71"/>
        <v>14750</v>
      </c>
      <c r="I154" s="51"/>
      <c r="J154" s="140">
        <v>1</v>
      </c>
      <c r="K154" t="s">
        <v>760</v>
      </c>
      <c r="L154" s="24">
        <v>1</v>
      </c>
      <c r="M154" s="38"/>
      <c r="N154" s="39">
        <f>INDEX(Inventory!E:E,MATCH(K154, Inventory!A:A),1)</f>
        <v>59</v>
      </c>
      <c r="O154" s="40">
        <f t="shared" si="72"/>
        <v>0</v>
      </c>
      <c r="P154" s="41">
        <f t="shared" si="73"/>
        <v>0</v>
      </c>
      <c r="Q154" s="41" cm="1">
        <f t="array" ref="Q154">MAX(IF($A:$A=$A154, $P:$P))</f>
        <v>0</v>
      </c>
      <c r="R154" s="113"/>
      <c r="S154" s="116"/>
      <c r="T154" s="117"/>
      <c r="U154" s="39" t="str">
        <f>IF(S154 &gt; 0,INDEX(Inventory!E:E,MATCH(R154, Inventory!A:A),1), "")</f>
        <v/>
      </c>
      <c r="V154" s="40">
        <f t="shared" si="74"/>
        <v>0</v>
      </c>
      <c r="W154" s="41">
        <f t="shared" si="75"/>
        <v>0</v>
      </c>
      <c r="Z154" s="38"/>
      <c r="AA154" s="39" t="str">
        <f>IF(Y154&gt;0, INDEX(Inventory!E:E,MATCH(X154, Inventory!A:A),1), "")</f>
        <v/>
      </c>
      <c r="AB154" s="42">
        <f t="shared" si="76"/>
        <v>0</v>
      </c>
      <c r="AC154" s="41">
        <f t="shared" si="77"/>
        <v>0</v>
      </c>
      <c r="AD154" s="114">
        <f t="shared" si="78"/>
        <v>0</v>
      </c>
      <c r="AE154" s="7">
        <f t="shared" si="79"/>
        <v>0</v>
      </c>
      <c r="AF154" s="7">
        <f t="shared" si="80"/>
        <v>0</v>
      </c>
      <c r="AG154" s="43">
        <f t="shared" si="81"/>
        <v>14750</v>
      </c>
      <c r="AH154" s="43">
        <f t="shared" si="82"/>
        <v>0</v>
      </c>
      <c r="AI154" s="43">
        <f t="shared" si="83"/>
        <v>0</v>
      </c>
    </row>
    <row r="155" spans="1:35" x14ac:dyDescent="0.25">
      <c r="A155" s="113" t="s">
        <v>774</v>
      </c>
      <c r="C155" t="s">
        <v>837</v>
      </c>
      <c r="D155" t="s">
        <v>838</v>
      </c>
      <c r="F155" s="34">
        <v>1</v>
      </c>
      <c r="G155" s="35">
        <f t="shared" si="70"/>
        <v>0</v>
      </c>
      <c r="H155" s="36">
        <f t="shared" si="71"/>
        <v>4286</v>
      </c>
      <c r="I155" s="51"/>
      <c r="J155" s="140">
        <v>2</v>
      </c>
      <c r="K155" t="s">
        <v>196</v>
      </c>
      <c r="L155" s="24">
        <v>1</v>
      </c>
      <c r="M155" s="38"/>
      <c r="N155" s="39">
        <f>INDEX(Inventory!E:E,MATCH(K155, Inventory!A:A),1)</f>
        <v>616165</v>
      </c>
      <c r="O155" s="40">
        <f t="shared" si="72"/>
        <v>0</v>
      </c>
      <c r="P155" s="41">
        <f t="shared" si="73"/>
        <v>0</v>
      </c>
      <c r="Q155" s="41" cm="1">
        <f t="array" ref="Q155">MAX(IF($A:$A=$A155, $P:$P))</f>
        <v>0</v>
      </c>
      <c r="R155" s="113" t="s">
        <v>752</v>
      </c>
      <c r="S155" s="116">
        <v>1</v>
      </c>
      <c r="T155" s="117"/>
      <c r="U155" s="39">
        <f>IF(S155 &gt; 0,INDEX(Inventory!E:E,MATCH(R155, Inventory!A:A),1), "")</f>
        <v>4286</v>
      </c>
      <c r="V155" s="40">
        <f t="shared" si="74"/>
        <v>0</v>
      </c>
      <c r="W155" s="41">
        <f t="shared" si="75"/>
        <v>0</v>
      </c>
      <c r="Z155" s="38"/>
      <c r="AA155" s="39" t="str">
        <f>IF(Y155&gt;0, INDEX(Inventory!E:E,MATCH(X155, Inventory!A:A),1), "")</f>
        <v/>
      </c>
      <c r="AB155" s="42">
        <f t="shared" si="76"/>
        <v>0</v>
      </c>
      <c r="AC155" s="41">
        <f t="shared" si="77"/>
        <v>0</v>
      </c>
      <c r="AD155" s="114">
        <f t="shared" si="78"/>
        <v>0</v>
      </c>
      <c r="AE155" s="7">
        <f t="shared" si="79"/>
        <v>0</v>
      </c>
      <c r="AF155" s="7">
        <f t="shared" si="80"/>
        <v>0</v>
      </c>
      <c r="AG155" s="43">
        <f t="shared" si="81"/>
        <v>0</v>
      </c>
      <c r="AH155" s="43">
        <f t="shared" si="82"/>
        <v>4286</v>
      </c>
      <c r="AI155" s="43">
        <f t="shared" si="83"/>
        <v>0</v>
      </c>
    </row>
    <row r="156" spans="1:35" x14ac:dyDescent="0.25">
      <c r="A156" s="113" t="s">
        <v>774</v>
      </c>
      <c r="C156" t="s">
        <v>837</v>
      </c>
      <c r="D156" t="s">
        <v>838</v>
      </c>
      <c r="F156" s="34">
        <v>10</v>
      </c>
      <c r="G156" s="35">
        <f t="shared" si="70"/>
        <v>0</v>
      </c>
      <c r="H156" s="36">
        <f t="shared" si="71"/>
        <v>743</v>
      </c>
      <c r="I156" s="51"/>
      <c r="J156" s="140">
        <v>3</v>
      </c>
      <c r="K156" t="s">
        <v>743</v>
      </c>
      <c r="L156" s="24">
        <v>1</v>
      </c>
      <c r="M156" s="38"/>
      <c r="N156" s="39">
        <f>INDEX(Inventory!E:E,MATCH(K156, Inventory!A:A),1)</f>
        <v>7926</v>
      </c>
      <c r="O156" s="40">
        <f t="shared" si="72"/>
        <v>0</v>
      </c>
      <c r="P156" s="41">
        <f t="shared" si="73"/>
        <v>0</v>
      </c>
      <c r="Q156" s="41" cm="1">
        <f t="array" ref="Q156">MAX(IF($A:$A=$A156, $P:$P))</f>
        <v>0</v>
      </c>
      <c r="R156" s="113" t="s">
        <v>209</v>
      </c>
      <c r="S156" s="116">
        <v>1</v>
      </c>
      <c r="T156" s="117"/>
      <c r="U156" s="39">
        <f>IF(S156 &gt; 0,INDEX(Inventory!E:E,MATCH(R156, Inventory!A:A),1), "")</f>
        <v>9872</v>
      </c>
      <c r="V156" s="40">
        <f t="shared" si="74"/>
        <v>0</v>
      </c>
      <c r="W156" s="41">
        <f t="shared" si="75"/>
        <v>0</v>
      </c>
      <c r="X156" t="s">
        <v>726</v>
      </c>
      <c r="Y156" s="24">
        <v>250</v>
      </c>
      <c r="Z156" s="38"/>
      <c r="AA156" s="39">
        <f>IF(Y156&gt;0, INDEX(Inventory!E:E,MATCH(X156, Inventory!A:A),1), "")</f>
        <v>18593</v>
      </c>
      <c r="AB156" s="42">
        <f t="shared" si="76"/>
        <v>0</v>
      </c>
      <c r="AC156" s="41">
        <f t="shared" si="77"/>
        <v>0</v>
      </c>
      <c r="AD156" s="114">
        <f t="shared" si="78"/>
        <v>0</v>
      </c>
      <c r="AE156" s="7">
        <f t="shared" si="79"/>
        <v>0</v>
      </c>
      <c r="AF156" s="7">
        <f t="shared" si="80"/>
        <v>0</v>
      </c>
      <c r="AG156" s="43">
        <f t="shared" si="81"/>
        <v>0</v>
      </c>
      <c r="AH156" s="43">
        <f t="shared" si="82"/>
        <v>0</v>
      </c>
      <c r="AI156" s="43">
        <f t="shared" si="83"/>
        <v>743.72</v>
      </c>
    </row>
    <row r="157" spans="1:35" x14ac:dyDescent="0.25">
      <c r="A157" s="113" t="s">
        <v>775</v>
      </c>
      <c r="D157" t="s">
        <v>833</v>
      </c>
      <c r="E157" t="s">
        <v>727</v>
      </c>
      <c r="F157" s="34">
        <v>1</v>
      </c>
      <c r="G157" s="35">
        <f t="shared" si="70"/>
        <v>0</v>
      </c>
      <c r="H157" s="36">
        <f t="shared" si="71"/>
        <v>37</v>
      </c>
      <c r="I157" s="37"/>
      <c r="J157" s="140">
        <v>2</v>
      </c>
      <c r="K157" t="s">
        <v>184</v>
      </c>
      <c r="L157" s="24">
        <v>100</v>
      </c>
      <c r="M157" s="38"/>
      <c r="N157" s="39">
        <f>INDEX(Inventory!E:E,MATCH(K157, Inventory!A:A),1)</f>
        <v>3790</v>
      </c>
      <c r="O157" s="40">
        <f t="shared" si="72"/>
        <v>0</v>
      </c>
      <c r="P157" s="41">
        <f t="shared" si="73"/>
        <v>0</v>
      </c>
      <c r="Q157" s="41" cm="1">
        <f t="array" ref="Q157">MAX(IF($A:$A=$A157, $P:$P))</f>
        <v>0</v>
      </c>
      <c r="R157" s="113" t="s">
        <v>199</v>
      </c>
      <c r="S157" s="116">
        <v>200</v>
      </c>
      <c r="T157" s="117"/>
      <c r="U157" s="39">
        <f>IF(S157 &gt; 0,INDEX(Inventory!E:E,MATCH(R157, Inventory!A:A),1), "")</f>
        <v>19168</v>
      </c>
      <c r="V157" s="40">
        <f t="shared" si="74"/>
        <v>0</v>
      </c>
      <c r="W157" s="41">
        <f t="shared" si="75"/>
        <v>0</v>
      </c>
      <c r="Z157" s="38"/>
      <c r="AA157" s="39" t="str">
        <f>IF(Y157&gt;0, INDEX(Inventory!E:E,MATCH(X157, Inventory!A:A),1), "")</f>
        <v/>
      </c>
      <c r="AB157" s="42">
        <f t="shared" si="76"/>
        <v>0</v>
      </c>
      <c r="AC157" s="41">
        <f t="shared" si="77"/>
        <v>0</v>
      </c>
      <c r="AD157" s="114">
        <f t="shared" si="78"/>
        <v>0</v>
      </c>
      <c r="AE157" s="7">
        <f t="shared" si="79"/>
        <v>0</v>
      </c>
      <c r="AF157" s="7">
        <f t="shared" si="80"/>
        <v>0</v>
      </c>
      <c r="AG157" s="43">
        <f t="shared" si="81"/>
        <v>0</v>
      </c>
      <c r="AH157" s="43">
        <f t="shared" si="82"/>
        <v>37.9</v>
      </c>
      <c r="AI157" s="43">
        <f t="shared" si="83"/>
        <v>0</v>
      </c>
    </row>
    <row r="158" spans="1:35" x14ac:dyDescent="0.25">
      <c r="A158" s="113" t="s">
        <v>776</v>
      </c>
      <c r="D158" t="s">
        <v>833</v>
      </c>
      <c r="E158" t="s">
        <v>748</v>
      </c>
      <c r="F158" s="34">
        <v>1</v>
      </c>
      <c r="G158" s="35">
        <f t="shared" si="70"/>
        <v>0</v>
      </c>
      <c r="H158" s="36">
        <f t="shared" si="71"/>
        <v>1</v>
      </c>
      <c r="I158" s="37"/>
      <c r="J158" s="140">
        <v>2</v>
      </c>
      <c r="K158" t="s">
        <v>763</v>
      </c>
      <c r="L158" s="24">
        <v>1</v>
      </c>
      <c r="M158" s="38"/>
      <c r="N158" s="39">
        <f>INDEX(Inventory!E:E,MATCH(K158, Inventory!A:A),1)</f>
        <v>1</v>
      </c>
      <c r="O158" s="40">
        <f t="shared" si="72"/>
        <v>0</v>
      </c>
      <c r="P158" s="41">
        <f t="shared" si="73"/>
        <v>0</v>
      </c>
      <c r="Q158" s="41" cm="1">
        <f t="array" ref="Q158">MAX(IF($A:$A=$A158, $P:$P))</f>
        <v>0</v>
      </c>
      <c r="R158" s="113" t="s">
        <v>747</v>
      </c>
      <c r="S158" s="116">
        <v>1</v>
      </c>
      <c r="T158" s="117"/>
      <c r="U158" s="39">
        <f>IF(S158 &gt; 0,INDEX(Inventory!E:E,MATCH(R158, Inventory!A:A),1), "")</f>
        <v>21</v>
      </c>
      <c r="V158" s="40">
        <f t="shared" si="74"/>
        <v>0</v>
      </c>
      <c r="W158" s="41">
        <f t="shared" si="75"/>
        <v>0</v>
      </c>
      <c r="Z158" s="38"/>
      <c r="AA158" s="39" t="str">
        <f>IF(Y158&gt;0, INDEX(Inventory!E:E,MATCH(X158, Inventory!A:A),1), "")</f>
        <v/>
      </c>
      <c r="AB158" s="42">
        <f t="shared" si="76"/>
        <v>0</v>
      </c>
      <c r="AC158" s="41">
        <f t="shared" si="77"/>
        <v>0</v>
      </c>
      <c r="AD158" s="114">
        <f t="shared" si="78"/>
        <v>0</v>
      </c>
      <c r="AE158" s="7">
        <f t="shared" si="79"/>
        <v>0</v>
      </c>
      <c r="AF158" s="7">
        <f t="shared" si="80"/>
        <v>0</v>
      </c>
      <c r="AG158" s="43">
        <f t="shared" si="81"/>
        <v>0</v>
      </c>
      <c r="AH158" s="43">
        <f t="shared" si="82"/>
        <v>1</v>
      </c>
      <c r="AI158" s="43">
        <f t="shared" si="83"/>
        <v>0</v>
      </c>
    </row>
    <row r="159" spans="1:35" x14ac:dyDescent="0.25">
      <c r="A159" s="113" t="s">
        <v>777</v>
      </c>
      <c r="C159" t="s">
        <v>837</v>
      </c>
      <c r="D159" t="s">
        <v>838</v>
      </c>
      <c r="F159" s="34">
        <v>2</v>
      </c>
      <c r="G159" s="35">
        <f t="shared" si="70"/>
        <v>0</v>
      </c>
      <c r="H159" s="36">
        <f t="shared" si="71"/>
        <v>7892</v>
      </c>
      <c r="I159" s="37"/>
      <c r="J159" s="140">
        <v>1</v>
      </c>
      <c r="K159" t="s">
        <v>721</v>
      </c>
      <c r="L159" s="24">
        <v>1</v>
      </c>
      <c r="M159" s="38"/>
      <c r="N159" s="39">
        <f>INDEX(Inventory!E:E,MATCH(K159, Inventory!A:A),1)</f>
        <v>3946</v>
      </c>
      <c r="O159" s="40">
        <f t="shared" si="72"/>
        <v>0</v>
      </c>
      <c r="P159" s="41">
        <f t="shared" si="73"/>
        <v>0</v>
      </c>
      <c r="Q159" s="41" cm="1">
        <f t="array" ref="Q159">MAX(IF($A:$A=$A159, $P:$P))</f>
        <v>0</v>
      </c>
      <c r="R159" s="113"/>
      <c r="S159" s="116"/>
      <c r="T159" s="117"/>
      <c r="U159" s="39" t="str">
        <f>IF(S159 &gt; 0,INDEX(Inventory!E:E,MATCH(R159, Inventory!A:A),1), "")</f>
        <v/>
      </c>
      <c r="V159" s="40">
        <f t="shared" si="74"/>
        <v>0</v>
      </c>
      <c r="W159" s="41">
        <f t="shared" si="75"/>
        <v>0</v>
      </c>
      <c r="Z159" s="38"/>
      <c r="AA159" s="39" t="str">
        <f>IF(Y159&gt;0, INDEX(Inventory!E:E,MATCH(X159, Inventory!A:A),1), "")</f>
        <v/>
      </c>
      <c r="AB159" s="42">
        <f t="shared" si="76"/>
        <v>0</v>
      </c>
      <c r="AC159" s="41">
        <f t="shared" si="77"/>
        <v>0</v>
      </c>
      <c r="AD159" s="114">
        <f t="shared" si="78"/>
        <v>0</v>
      </c>
      <c r="AE159" s="7">
        <f t="shared" si="79"/>
        <v>0</v>
      </c>
      <c r="AF159" s="7">
        <f t="shared" si="80"/>
        <v>0</v>
      </c>
      <c r="AG159" s="43">
        <f t="shared" si="81"/>
        <v>7892</v>
      </c>
      <c r="AH159" s="43">
        <f t="shared" si="82"/>
        <v>0</v>
      </c>
      <c r="AI159" s="43">
        <f t="shared" si="83"/>
        <v>0</v>
      </c>
    </row>
    <row r="160" spans="1:35" x14ac:dyDescent="0.25">
      <c r="A160" s="113" t="s">
        <v>194</v>
      </c>
      <c r="C160" t="s">
        <v>837</v>
      </c>
      <c r="D160" t="s">
        <v>838</v>
      </c>
      <c r="E160" t="s">
        <v>737</v>
      </c>
      <c r="F160" s="34">
        <v>1</v>
      </c>
      <c r="G160" s="35">
        <f t="shared" si="70"/>
        <v>0</v>
      </c>
      <c r="H160" s="36">
        <f t="shared" si="71"/>
        <v>1181</v>
      </c>
      <c r="I160" s="37">
        <v>1800</v>
      </c>
      <c r="J160" s="140">
        <v>2</v>
      </c>
      <c r="K160" t="s">
        <v>795</v>
      </c>
      <c r="L160" s="24">
        <v>2</v>
      </c>
      <c r="M160" s="45"/>
      <c r="N160" s="69">
        <f>INDEX(Inventory!E:E,MATCH(K160, Inventory!A:A),1)</f>
        <v>2362</v>
      </c>
      <c r="O160" s="48">
        <f t="shared" si="72"/>
        <v>3600</v>
      </c>
      <c r="P160" s="41">
        <f t="shared" si="73"/>
        <v>0.65611111111111109</v>
      </c>
      <c r="Q160" s="41" cm="1">
        <f t="array" ref="Q160">MAX(IF($A:$A=$A160, $P:$P))</f>
        <v>4.7622222222222224</v>
      </c>
      <c r="R160" s="113" t="s">
        <v>743</v>
      </c>
      <c r="S160" s="116">
        <v>1</v>
      </c>
      <c r="T160" s="117"/>
      <c r="U160" s="69">
        <f>IF(S160 &gt; 0,INDEX(Inventory!E:E,MATCH(R160, Inventory!A:A),1), "")</f>
        <v>7926</v>
      </c>
      <c r="V160" s="48">
        <f t="shared" si="74"/>
        <v>1800</v>
      </c>
      <c r="W160" s="41">
        <f t="shared" si="75"/>
        <v>4.4033333333333333</v>
      </c>
      <c r="Z160" s="38"/>
      <c r="AA160" s="69" t="str">
        <f>IF(Y160&gt;0, INDEX(Inventory!E:E,MATCH(X160, Inventory!A:A),1), "")</f>
        <v/>
      </c>
      <c r="AB160" s="49">
        <f t="shared" si="76"/>
        <v>0</v>
      </c>
      <c r="AC160" s="41">
        <f t="shared" si="77"/>
        <v>0</v>
      </c>
      <c r="AD160" s="114">
        <f t="shared" si="78"/>
        <v>0</v>
      </c>
      <c r="AE160" s="7">
        <f t="shared" si="79"/>
        <v>0</v>
      </c>
      <c r="AF160" s="7">
        <f t="shared" si="80"/>
        <v>0</v>
      </c>
      <c r="AG160" s="43">
        <f t="shared" si="81"/>
        <v>0</v>
      </c>
      <c r="AH160" s="43">
        <f t="shared" si="82"/>
        <v>1181</v>
      </c>
      <c r="AI160" s="43">
        <f t="shared" si="83"/>
        <v>0</v>
      </c>
    </row>
    <row r="161" spans="1:35" x14ac:dyDescent="0.25">
      <c r="A161" s="113" t="s">
        <v>194</v>
      </c>
      <c r="C161" t="s">
        <v>837</v>
      </c>
      <c r="D161" t="s">
        <v>838</v>
      </c>
      <c r="E161" t="s">
        <v>737</v>
      </c>
      <c r="F161" s="34">
        <v>2</v>
      </c>
      <c r="G161" s="35">
        <f t="shared" si="70"/>
        <v>3600</v>
      </c>
      <c r="H161" s="36">
        <f t="shared" si="71"/>
        <v>8572</v>
      </c>
      <c r="I161" s="37">
        <v>1800</v>
      </c>
      <c r="J161" s="140">
        <v>2</v>
      </c>
      <c r="K161" t="s">
        <v>752</v>
      </c>
      <c r="L161" s="24">
        <v>1</v>
      </c>
      <c r="M161" s="45">
        <v>1800</v>
      </c>
      <c r="N161" s="69">
        <f>INDEX(Inventory!E:E,MATCH(K161, Inventory!A:A),1)</f>
        <v>4286</v>
      </c>
      <c r="O161" s="48">
        <f t="shared" si="72"/>
        <v>900</v>
      </c>
      <c r="P161" s="41">
        <f t="shared" si="73"/>
        <v>4.7622222222222224</v>
      </c>
      <c r="Q161" s="41" cm="1">
        <f t="array" ref="Q161">MAX(IF($A:$A=$A161, $P:$P))</f>
        <v>4.7622222222222224</v>
      </c>
      <c r="R161" s="113" t="s">
        <v>209</v>
      </c>
      <c r="S161" s="116">
        <v>1</v>
      </c>
      <c r="T161" s="117">
        <v>25000</v>
      </c>
      <c r="U161" s="69">
        <f>IF(S161 &gt; 0,INDEX(Inventory!E:E,MATCH(R161, Inventory!A:A),1), "")</f>
        <v>9872</v>
      </c>
      <c r="V161" s="48">
        <f t="shared" si="74"/>
        <v>900</v>
      </c>
      <c r="W161" s="41">
        <f t="shared" si="75"/>
        <v>10.968888888888889</v>
      </c>
      <c r="Z161" s="38"/>
      <c r="AA161" s="69" t="str">
        <f>IF(Y161&gt;0, INDEX(Inventory!E:E,MATCH(X161, Inventory!A:A),1), "")</f>
        <v/>
      </c>
      <c r="AB161" s="49">
        <f t="shared" si="76"/>
        <v>0</v>
      </c>
      <c r="AC161" s="41">
        <f t="shared" si="77"/>
        <v>0</v>
      </c>
      <c r="AD161" s="114">
        <f t="shared" si="78"/>
        <v>0</v>
      </c>
      <c r="AE161" s="7">
        <f t="shared" si="79"/>
        <v>3600</v>
      </c>
      <c r="AF161" s="7">
        <f t="shared" si="80"/>
        <v>0</v>
      </c>
      <c r="AG161" s="43">
        <f t="shared" si="81"/>
        <v>0</v>
      </c>
      <c r="AH161" s="43">
        <f t="shared" si="82"/>
        <v>8572</v>
      </c>
      <c r="AI161" s="43">
        <f t="shared" si="83"/>
        <v>0</v>
      </c>
    </row>
    <row r="162" spans="1:35" x14ac:dyDescent="0.25">
      <c r="A162" s="113" t="s">
        <v>194</v>
      </c>
      <c r="C162" t="s">
        <v>837</v>
      </c>
      <c r="D162" t="s">
        <v>838</v>
      </c>
      <c r="E162" t="s">
        <v>737</v>
      </c>
      <c r="F162" s="34">
        <v>1</v>
      </c>
      <c r="G162" s="35">
        <f t="shared" si="70"/>
        <v>0</v>
      </c>
      <c r="H162" s="36">
        <f t="shared" si="71"/>
        <v>1181</v>
      </c>
      <c r="I162" s="37">
        <v>1800</v>
      </c>
      <c r="J162" s="140">
        <v>2</v>
      </c>
      <c r="K162" t="s">
        <v>795</v>
      </c>
      <c r="L162" s="24">
        <v>2</v>
      </c>
      <c r="M162" s="45"/>
      <c r="N162" s="69">
        <f>INDEX(Inventory!E:E,MATCH(K162, Inventory!A:A),1)</f>
        <v>2362</v>
      </c>
      <c r="O162" s="48">
        <f t="shared" si="72"/>
        <v>3600</v>
      </c>
      <c r="P162" s="41">
        <f t="shared" si="73"/>
        <v>0.65611111111111109</v>
      </c>
      <c r="Q162" s="41" cm="1">
        <f t="array" ref="Q162">MAX(IF($A:$A=$A162, $P:$P))</f>
        <v>4.7622222222222224</v>
      </c>
      <c r="R162" s="113" t="s">
        <v>778</v>
      </c>
      <c r="S162" s="116">
        <v>1</v>
      </c>
      <c r="T162" s="117"/>
      <c r="U162" s="69">
        <f>IF(S162 &gt; 0,INDEX(Inventory!E:E,MATCH(R162, Inventory!A:A),1), "")</f>
        <v>1356</v>
      </c>
      <c r="V162" s="48">
        <f t="shared" si="74"/>
        <v>1800</v>
      </c>
      <c r="W162" s="41">
        <f t="shared" si="75"/>
        <v>0.7533333333333333</v>
      </c>
      <c r="Z162" s="38"/>
      <c r="AA162" s="69" t="str">
        <f>IF(Y162&gt;0, INDEX(Inventory!E:E,MATCH(X162, Inventory!A:A),1), "")</f>
        <v/>
      </c>
      <c r="AB162" s="49">
        <f t="shared" si="76"/>
        <v>0</v>
      </c>
      <c r="AC162" s="41">
        <f t="shared" si="77"/>
        <v>0</v>
      </c>
      <c r="AD162" s="114">
        <f t="shared" si="78"/>
        <v>0</v>
      </c>
      <c r="AE162" s="7">
        <f t="shared" si="79"/>
        <v>0</v>
      </c>
      <c r="AF162" s="7">
        <f t="shared" si="80"/>
        <v>0</v>
      </c>
      <c r="AG162" s="43">
        <f t="shared" si="81"/>
        <v>0</v>
      </c>
      <c r="AH162" s="43">
        <f t="shared" si="82"/>
        <v>1181</v>
      </c>
      <c r="AI162" s="43">
        <f t="shared" si="83"/>
        <v>0</v>
      </c>
    </row>
    <row r="163" spans="1:35" x14ac:dyDescent="0.25">
      <c r="A163" s="113" t="s">
        <v>194</v>
      </c>
      <c r="C163" t="s">
        <v>837</v>
      </c>
      <c r="D163" t="s">
        <v>838</v>
      </c>
      <c r="E163" t="s">
        <v>737</v>
      </c>
      <c r="F163" s="34">
        <v>1</v>
      </c>
      <c r="G163" s="35">
        <f t="shared" si="70"/>
        <v>0</v>
      </c>
      <c r="H163" s="36">
        <f t="shared" si="71"/>
        <v>1895</v>
      </c>
      <c r="I163" s="37">
        <v>1800</v>
      </c>
      <c r="J163" s="140">
        <v>2</v>
      </c>
      <c r="K163" t="s">
        <v>184</v>
      </c>
      <c r="L163" s="24">
        <v>2</v>
      </c>
      <c r="M163" s="45"/>
      <c r="N163" s="69">
        <f>INDEX(Inventory!E:E,MATCH(K163, Inventory!A:A),1)</f>
        <v>3790</v>
      </c>
      <c r="O163" s="48">
        <f t="shared" si="72"/>
        <v>3600</v>
      </c>
      <c r="P163" s="41">
        <f t="shared" si="73"/>
        <v>1.0527777777777778</v>
      </c>
      <c r="Q163" s="41" cm="1">
        <f t="array" ref="Q163">MAX(IF($A:$A=$A163, $P:$P))</f>
        <v>4.7622222222222224</v>
      </c>
      <c r="R163" s="113" t="s">
        <v>195</v>
      </c>
      <c r="S163" s="116">
        <v>1</v>
      </c>
      <c r="T163" s="117"/>
      <c r="U163" s="69">
        <f>IF(S163 &gt; 0,INDEX(Inventory!E:E,MATCH(R163, Inventory!A:A),1), "")</f>
        <v>15125</v>
      </c>
      <c r="V163" s="48">
        <f t="shared" si="74"/>
        <v>1800</v>
      </c>
      <c r="W163" s="41">
        <f t="shared" si="75"/>
        <v>8.4027777777777786</v>
      </c>
      <c r="Z163" s="38"/>
      <c r="AA163" s="69" t="str">
        <f>IF(Y163&gt;0, INDEX(Inventory!E:E,MATCH(X163, Inventory!A:A),1), "")</f>
        <v/>
      </c>
      <c r="AB163" s="49">
        <f t="shared" si="76"/>
        <v>0</v>
      </c>
      <c r="AC163" s="41">
        <f t="shared" si="77"/>
        <v>0</v>
      </c>
      <c r="AD163" s="114">
        <f t="shared" si="78"/>
        <v>0</v>
      </c>
      <c r="AE163" s="7">
        <f t="shared" si="79"/>
        <v>0</v>
      </c>
      <c r="AF163" s="7">
        <f t="shared" si="80"/>
        <v>0</v>
      </c>
      <c r="AG163" s="43">
        <f t="shared" si="81"/>
        <v>0</v>
      </c>
      <c r="AH163" s="43">
        <f t="shared" si="82"/>
        <v>1895</v>
      </c>
      <c r="AI163" s="43">
        <f t="shared" si="83"/>
        <v>0</v>
      </c>
    </row>
    <row r="164" spans="1:35" x14ac:dyDescent="0.25">
      <c r="A164" s="113" t="s">
        <v>194</v>
      </c>
      <c r="C164" t="s">
        <v>837</v>
      </c>
      <c r="D164" t="s">
        <v>838</v>
      </c>
      <c r="E164" t="s">
        <v>737</v>
      </c>
      <c r="F164" s="34">
        <v>1</v>
      </c>
      <c r="G164" s="35">
        <f t="shared" ref="G164:G198" si="84">MAX(AD164:AF164)</f>
        <v>0</v>
      </c>
      <c r="H164" s="36">
        <f t="shared" ref="H164:H198" si="85">ROUNDDOWN(MAX(AG164:AI164),0)</f>
        <v>4286</v>
      </c>
      <c r="I164" s="37">
        <v>1800</v>
      </c>
      <c r="J164" s="140">
        <v>1</v>
      </c>
      <c r="K164" t="s">
        <v>752</v>
      </c>
      <c r="L164" s="24">
        <v>1</v>
      </c>
      <c r="M164" s="45"/>
      <c r="N164" s="69">
        <f>INDEX(Inventory!E:E,MATCH(K164, Inventory!A:A),1)</f>
        <v>4286</v>
      </c>
      <c r="O164" s="48">
        <f t="shared" ref="O164:O198" si="86">I164/F164*L164</f>
        <v>1800</v>
      </c>
      <c r="P164" s="41">
        <f t="shared" ref="P164:P195" si="87">IF(ISBLANK(I164), 0, N164/O164)</f>
        <v>2.3811111111111112</v>
      </c>
      <c r="Q164" s="41" cm="1">
        <f t="array" ref="Q164">MAX(IF($A:$A=$A164, $P:$P))</f>
        <v>4.7622222222222224</v>
      </c>
      <c r="R164" s="113"/>
      <c r="S164" s="116"/>
      <c r="T164" s="117"/>
      <c r="U164" s="69" t="str">
        <f>IF(S164 &gt; 0,INDEX(Inventory!E:E,MATCH(R164, Inventory!A:A),1), "")</f>
        <v/>
      </c>
      <c r="V164" s="48">
        <f t="shared" ref="V164:V198" si="88">I164/F164*S164</f>
        <v>0</v>
      </c>
      <c r="W164" s="41">
        <f t="shared" ref="W164:W195" si="89">IF(ISBLANK(I164),0,IF(ISBLANK(S164),0,U164/V164))</f>
        <v>0</v>
      </c>
      <c r="Z164" s="38"/>
      <c r="AA164" s="69" t="str">
        <f>IF(Y164&gt;0, INDEX(Inventory!E:E,MATCH(X164, Inventory!A:A),1), "")</f>
        <v/>
      </c>
      <c r="AB164" s="49">
        <f t="shared" ref="AB164:AB198" si="90">I164/F164*Y164</f>
        <v>0</v>
      </c>
      <c r="AC164" s="41">
        <f t="shared" ref="AC164:AC195" si="91">IF(ISBLANK(I164), 0, IF(ISBLANK(Y164), 0, AA164/AB164))</f>
        <v>0</v>
      </c>
      <c r="AD164" s="114">
        <f t="shared" ref="AD164:AD198" si="92">IF(J164=1, M164/L164*F164, 0)</f>
        <v>0</v>
      </c>
      <c r="AE164" s="7">
        <f t="shared" ref="AE164:AE198" si="93">IF(J164=2, MIN(M164/L164, T164/S164)* F164,0)</f>
        <v>0</v>
      </c>
      <c r="AF164" s="7">
        <f t="shared" ref="AF164:AF198" si="94">IF(J164=3, MIN(M164/L164, T164/S164, Z164/Y164) * F164, 0)</f>
        <v>0</v>
      </c>
      <c r="AG164" s="43">
        <f t="shared" ref="AG164:AG198" si="95">IF(J164=1, N164/L164*F164, 0)</f>
        <v>4286</v>
      </c>
      <c r="AH164" s="43">
        <f t="shared" ref="AH164:AH198" si="96">IF(J164=2,MIN(N164/L164, U164/S164)* F164,0)</f>
        <v>0</v>
      </c>
      <c r="AI164" s="43">
        <f t="shared" ref="AI164:AI198" si="97">IF(J164=3, MIN(N164/L164, U164/S164, AA164/Y164) * F164, 0)</f>
        <v>0</v>
      </c>
    </row>
    <row r="165" spans="1:35" x14ac:dyDescent="0.25">
      <c r="A165" s="113" t="s">
        <v>780</v>
      </c>
      <c r="D165" t="s">
        <v>833</v>
      </c>
      <c r="E165" t="s">
        <v>895</v>
      </c>
      <c r="F165" s="34">
        <v>1</v>
      </c>
      <c r="G165" s="35">
        <f t="shared" si="84"/>
        <v>0</v>
      </c>
      <c r="H165" s="36">
        <f t="shared" si="85"/>
        <v>0</v>
      </c>
      <c r="I165" s="37"/>
      <c r="J165" s="140">
        <v>2</v>
      </c>
      <c r="K165" t="s">
        <v>727</v>
      </c>
      <c r="L165" s="24">
        <v>1</v>
      </c>
      <c r="M165" s="38"/>
      <c r="N165" s="39">
        <f>INDEX(Inventory!E:E,MATCH(K165, Inventory!A:A),1)</f>
        <v>0</v>
      </c>
      <c r="O165" s="40">
        <f t="shared" si="86"/>
        <v>0</v>
      </c>
      <c r="P165" s="41">
        <f t="shared" si="87"/>
        <v>0</v>
      </c>
      <c r="Q165" s="41" cm="1">
        <f t="array" ref="Q165">MAX(IF($A:$A=$A165, $P:$P))</f>
        <v>0</v>
      </c>
      <c r="R165" s="113" t="s">
        <v>790</v>
      </c>
      <c r="S165" s="116">
        <v>1</v>
      </c>
      <c r="T165" s="117"/>
      <c r="U165" s="39">
        <f>IF(S165 &gt; 0,INDEX(Inventory!E:E,MATCH(R165, Inventory!A:A),1), "")</f>
        <v>1</v>
      </c>
      <c r="V165" s="40">
        <f t="shared" si="88"/>
        <v>0</v>
      </c>
      <c r="W165" s="41">
        <f t="shared" si="89"/>
        <v>0</v>
      </c>
      <c r="Z165" s="38"/>
      <c r="AA165" s="39" t="str">
        <f>IF(Y165&gt;0, INDEX(Inventory!E:E,MATCH(X165, Inventory!A:A),1), "")</f>
        <v/>
      </c>
      <c r="AB165" s="42">
        <f t="shared" si="90"/>
        <v>0</v>
      </c>
      <c r="AC165" s="41">
        <f t="shared" si="91"/>
        <v>0</v>
      </c>
      <c r="AD165" s="114">
        <f t="shared" si="92"/>
        <v>0</v>
      </c>
      <c r="AE165" s="7">
        <f t="shared" si="93"/>
        <v>0</v>
      </c>
      <c r="AF165" s="7">
        <f t="shared" si="94"/>
        <v>0</v>
      </c>
      <c r="AG165" s="43">
        <f t="shared" si="95"/>
        <v>0</v>
      </c>
      <c r="AH165" s="43">
        <f t="shared" si="96"/>
        <v>0</v>
      </c>
      <c r="AI165" s="43">
        <f t="shared" si="97"/>
        <v>0</v>
      </c>
    </row>
    <row r="166" spans="1:35" x14ac:dyDescent="0.25">
      <c r="A166" s="113" t="s">
        <v>781</v>
      </c>
      <c r="C166" t="s">
        <v>888</v>
      </c>
      <c r="D166" t="s">
        <v>838</v>
      </c>
      <c r="F166" s="34">
        <v>1</v>
      </c>
      <c r="G166" s="35">
        <f t="shared" si="84"/>
        <v>0</v>
      </c>
      <c r="H166" s="36">
        <f t="shared" si="85"/>
        <v>974</v>
      </c>
      <c r="I166" s="37"/>
      <c r="J166" s="140">
        <v>2</v>
      </c>
      <c r="K166" t="s">
        <v>789</v>
      </c>
      <c r="L166" s="24">
        <v>1</v>
      </c>
      <c r="M166" s="38"/>
      <c r="N166" s="39">
        <f>INDEX(Inventory!E:E,MATCH(K166, Inventory!A:A),1)</f>
        <v>974</v>
      </c>
      <c r="O166" s="40">
        <f t="shared" si="86"/>
        <v>0</v>
      </c>
      <c r="P166" s="41">
        <f t="shared" si="87"/>
        <v>0</v>
      </c>
      <c r="Q166" s="41" cm="1">
        <f t="array" ref="Q166">MAX(IF($A:$A=$A166, $P:$P))</f>
        <v>0</v>
      </c>
      <c r="R166" s="113" t="s">
        <v>726</v>
      </c>
      <c r="S166" s="116">
        <v>1</v>
      </c>
      <c r="T166" s="117"/>
      <c r="U166" s="39">
        <f>IF(S166 &gt; 0,INDEX(Inventory!E:E,MATCH(R166, Inventory!A:A),1), "")</f>
        <v>18593</v>
      </c>
      <c r="V166" s="40">
        <f t="shared" si="88"/>
        <v>0</v>
      </c>
      <c r="W166" s="41">
        <f t="shared" si="89"/>
        <v>0</v>
      </c>
      <c r="Z166" s="38"/>
      <c r="AA166" s="39" t="str">
        <f>IF(Y166&gt;0, INDEX(Inventory!E:E,MATCH(X166, Inventory!A:A),1), "")</f>
        <v/>
      </c>
      <c r="AB166" s="42">
        <f t="shared" si="90"/>
        <v>0</v>
      </c>
      <c r="AC166" s="41">
        <f t="shared" si="91"/>
        <v>0</v>
      </c>
      <c r="AD166" s="114">
        <f t="shared" si="92"/>
        <v>0</v>
      </c>
      <c r="AE166" s="7">
        <f t="shared" si="93"/>
        <v>0</v>
      </c>
      <c r="AF166" s="7">
        <f t="shared" si="94"/>
        <v>0</v>
      </c>
      <c r="AG166" s="43">
        <f t="shared" si="95"/>
        <v>0</v>
      </c>
      <c r="AH166" s="43">
        <f t="shared" si="96"/>
        <v>974</v>
      </c>
      <c r="AI166" s="43">
        <f t="shared" si="97"/>
        <v>0</v>
      </c>
    </row>
    <row r="167" spans="1:35" x14ac:dyDescent="0.25">
      <c r="A167" s="113" t="s">
        <v>781</v>
      </c>
      <c r="C167" t="s">
        <v>888</v>
      </c>
      <c r="D167" t="s">
        <v>838</v>
      </c>
      <c r="F167" s="34">
        <v>1</v>
      </c>
      <c r="G167" s="35">
        <f t="shared" si="84"/>
        <v>0</v>
      </c>
      <c r="H167" s="36">
        <f t="shared" si="85"/>
        <v>974</v>
      </c>
      <c r="I167" s="37"/>
      <c r="J167" s="140">
        <v>2</v>
      </c>
      <c r="K167" t="s">
        <v>789</v>
      </c>
      <c r="L167" s="24">
        <v>1</v>
      </c>
      <c r="M167" s="38"/>
      <c r="N167" s="39">
        <f>INDEX(Inventory!E:E,MATCH(K167, Inventory!A:A),1)</f>
        <v>974</v>
      </c>
      <c r="O167" s="40">
        <f t="shared" si="86"/>
        <v>0</v>
      </c>
      <c r="P167" s="41">
        <f t="shared" si="87"/>
        <v>0</v>
      </c>
      <c r="Q167" s="41" cm="1">
        <f t="array" ref="Q167">MAX(IF($A:$A=$A167, $P:$P))</f>
        <v>0</v>
      </c>
      <c r="R167" s="113" t="s">
        <v>209</v>
      </c>
      <c r="S167" s="116">
        <v>1</v>
      </c>
      <c r="T167" s="117"/>
      <c r="U167" s="39">
        <f>IF(S167 &gt; 0,INDEX(Inventory!E:E,MATCH(R167, Inventory!A:A),1), "")</f>
        <v>9872</v>
      </c>
      <c r="V167" s="40">
        <f t="shared" si="88"/>
        <v>0</v>
      </c>
      <c r="W167" s="41">
        <f t="shared" si="89"/>
        <v>0</v>
      </c>
      <c r="Z167" s="38"/>
      <c r="AA167" s="39" t="str">
        <f>IF(Y167&gt;0, INDEX(Inventory!E:E,MATCH(X167, Inventory!A:A),1), "")</f>
        <v/>
      </c>
      <c r="AB167" s="42">
        <f t="shared" si="90"/>
        <v>0</v>
      </c>
      <c r="AC167" s="41">
        <f t="shared" si="91"/>
        <v>0</v>
      </c>
      <c r="AD167" s="114">
        <f t="shared" si="92"/>
        <v>0</v>
      </c>
      <c r="AE167" s="7">
        <f t="shared" si="93"/>
        <v>0</v>
      </c>
      <c r="AF167" s="7">
        <f t="shared" si="94"/>
        <v>0</v>
      </c>
      <c r="AG167" s="43">
        <f t="shared" si="95"/>
        <v>0</v>
      </c>
      <c r="AH167" s="43">
        <f t="shared" si="96"/>
        <v>974</v>
      </c>
      <c r="AI167" s="43">
        <f t="shared" si="97"/>
        <v>0</v>
      </c>
    </row>
    <row r="168" spans="1:35" x14ac:dyDescent="0.25">
      <c r="A168" s="113" t="s">
        <v>781</v>
      </c>
      <c r="C168" t="s">
        <v>888</v>
      </c>
      <c r="D168" t="s">
        <v>838</v>
      </c>
      <c r="F168" s="34">
        <v>1</v>
      </c>
      <c r="G168" s="35">
        <f t="shared" si="84"/>
        <v>0</v>
      </c>
      <c r="H168" s="36">
        <f t="shared" si="85"/>
        <v>324</v>
      </c>
      <c r="I168" s="37"/>
      <c r="J168" s="140">
        <v>1</v>
      </c>
      <c r="K168" t="s">
        <v>789</v>
      </c>
      <c r="L168" s="24">
        <v>3</v>
      </c>
      <c r="M168" s="38"/>
      <c r="N168" s="39">
        <f>INDEX(Inventory!E:E,MATCH(K168, Inventory!A:A),1)</f>
        <v>974</v>
      </c>
      <c r="O168" s="40">
        <f t="shared" si="86"/>
        <v>0</v>
      </c>
      <c r="P168" s="41">
        <f t="shared" si="87"/>
        <v>0</v>
      </c>
      <c r="Q168" s="41" cm="1">
        <f t="array" ref="Q168">MAX(IF($A:$A=$A168, $P:$P))</f>
        <v>0</v>
      </c>
      <c r="R168" s="113"/>
      <c r="S168" s="116"/>
      <c r="T168" s="117"/>
      <c r="U168" s="39" t="str">
        <f>IF(S168 &gt; 0,INDEX(Inventory!E:E,MATCH(R168, Inventory!A:A),1), "")</f>
        <v/>
      </c>
      <c r="V168" s="40">
        <f t="shared" si="88"/>
        <v>0</v>
      </c>
      <c r="W168" s="41">
        <f t="shared" si="89"/>
        <v>0</v>
      </c>
      <c r="Z168" s="38"/>
      <c r="AA168" s="39" t="str">
        <f>IF(Y168&gt;0, INDEX(Inventory!E:E,MATCH(X168, Inventory!A:A),1), "")</f>
        <v/>
      </c>
      <c r="AB168" s="42">
        <f t="shared" si="90"/>
        <v>0</v>
      </c>
      <c r="AC168" s="41">
        <f t="shared" si="91"/>
        <v>0</v>
      </c>
      <c r="AD168" s="114">
        <f t="shared" si="92"/>
        <v>0</v>
      </c>
      <c r="AE168" s="7">
        <f t="shared" si="93"/>
        <v>0</v>
      </c>
      <c r="AF168" s="7">
        <f t="shared" si="94"/>
        <v>0</v>
      </c>
      <c r="AG168" s="43">
        <f t="shared" si="95"/>
        <v>324.66666666666669</v>
      </c>
      <c r="AH168" s="43">
        <f t="shared" si="96"/>
        <v>0</v>
      </c>
      <c r="AI168" s="43">
        <f t="shared" si="97"/>
        <v>0</v>
      </c>
    </row>
    <row r="169" spans="1:35" x14ac:dyDescent="0.25">
      <c r="A169" s="113" t="s">
        <v>896</v>
      </c>
      <c r="B169" s="113" t="s">
        <v>897</v>
      </c>
      <c r="C169" t="s">
        <v>836</v>
      </c>
      <c r="D169" t="s">
        <v>833</v>
      </c>
      <c r="F169" s="34">
        <v>1</v>
      </c>
      <c r="G169" s="35">
        <f t="shared" si="84"/>
        <v>0</v>
      </c>
      <c r="H169" s="36">
        <f t="shared" si="85"/>
        <v>1</v>
      </c>
      <c r="I169" s="37"/>
      <c r="J169" s="140">
        <v>3</v>
      </c>
      <c r="K169" t="s">
        <v>196</v>
      </c>
      <c r="L169" s="24">
        <v>60</v>
      </c>
      <c r="M169" s="45"/>
      <c r="N169" s="39">
        <f>INDEX(Inventory!E:E,MATCH(K169, Inventory!A:A),1)</f>
        <v>616165</v>
      </c>
      <c r="O169" s="40">
        <f t="shared" si="86"/>
        <v>0</v>
      </c>
      <c r="P169" s="41">
        <f t="shared" si="87"/>
        <v>0</v>
      </c>
      <c r="Q169" s="41" cm="1">
        <f t="array" ref="Q169">MAX(IF($A:$A=$A169, $P:$P))</f>
        <v>0</v>
      </c>
      <c r="R169" s="113" t="s">
        <v>736</v>
      </c>
      <c r="S169" s="116">
        <v>2</v>
      </c>
      <c r="T169" s="117"/>
      <c r="U169" s="39">
        <f>IF(S169 &gt; 0,INDEX(Inventory!E:E,MATCH(R169, Inventory!A:A),1), "")</f>
        <v>2</v>
      </c>
      <c r="V169" s="40">
        <f t="shared" si="88"/>
        <v>0</v>
      </c>
      <c r="W169" s="41">
        <f t="shared" si="89"/>
        <v>0</v>
      </c>
      <c r="X169" t="s">
        <v>752</v>
      </c>
      <c r="Y169" s="24">
        <v>45</v>
      </c>
      <c r="Z169" s="38"/>
      <c r="AA169" s="39">
        <f>IF(Y169&gt;0, INDEX(Inventory!E:E,MATCH(X169, Inventory!A:A),1), "")</f>
        <v>4286</v>
      </c>
      <c r="AB169" s="42">
        <f t="shared" si="90"/>
        <v>0</v>
      </c>
      <c r="AC169" s="41">
        <f t="shared" si="91"/>
        <v>0</v>
      </c>
      <c r="AD169" s="114">
        <f t="shared" si="92"/>
        <v>0</v>
      </c>
      <c r="AE169" s="7">
        <f t="shared" si="93"/>
        <v>0</v>
      </c>
      <c r="AF169" s="7">
        <f t="shared" si="94"/>
        <v>0</v>
      </c>
      <c r="AG169" s="43">
        <f t="shared" si="95"/>
        <v>0</v>
      </c>
      <c r="AH169" s="43">
        <f t="shared" si="96"/>
        <v>0</v>
      </c>
      <c r="AI169" s="43">
        <f t="shared" si="97"/>
        <v>1</v>
      </c>
    </row>
    <row r="170" spans="1:35" x14ac:dyDescent="0.25">
      <c r="A170" s="113" t="s">
        <v>898</v>
      </c>
      <c r="B170" s="113" t="s">
        <v>899</v>
      </c>
      <c r="C170" t="s">
        <v>836</v>
      </c>
      <c r="D170" t="s">
        <v>833</v>
      </c>
      <c r="F170" s="34">
        <v>1</v>
      </c>
      <c r="G170" s="35">
        <f t="shared" si="84"/>
        <v>0</v>
      </c>
      <c r="H170" s="36">
        <f t="shared" si="85"/>
        <v>974</v>
      </c>
      <c r="I170" s="37"/>
      <c r="J170" s="140">
        <v>2</v>
      </c>
      <c r="K170" t="s">
        <v>196</v>
      </c>
      <c r="L170" s="24">
        <v>10</v>
      </c>
      <c r="M170" s="45"/>
      <c r="N170" s="39">
        <f>INDEX(Inventory!E:E,MATCH(K170, Inventory!A:A),1)</f>
        <v>616165</v>
      </c>
      <c r="O170" s="40">
        <f t="shared" si="86"/>
        <v>0</v>
      </c>
      <c r="P170" s="41">
        <f t="shared" si="87"/>
        <v>0</v>
      </c>
      <c r="Q170" s="41" cm="1">
        <f t="array" ref="Q170">MAX(IF($A:$A=$A170, $P:$P))</f>
        <v>0</v>
      </c>
      <c r="R170" s="113" t="s">
        <v>751</v>
      </c>
      <c r="S170" s="116">
        <v>1</v>
      </c>
      <c r="T170" s="117"/>
      <c r="U170" s="39">
        <f>IF(S170 &gt; 0,INDEX(Inventory!E:E,MATCH(R170, Inventory!A:A),1), "")</f>
        <v>974</v>
      </c>
      <c r="V170" s="40">
        <f t="shared" si="88"/>
        <v>0</v>
      </c>
      <c r="W170" s="41">
        <f t="shared" si="89"/>
        <v>0</v>
      </c>
      <c r="Z170" s="38"/>
      <c r="AA170" s="39" t="str">
        <f>IF(Y170&gt;0, INDEX(Inventory!E:E,MATCH(X170, Inventory!A:A),1), "")</f>
        <v/>
      </c>
      <c r="AB170" s="42">
        <f t="shared" si="90"/>
        <v>0</v>
      </c>
      <c r="AC170" s="41">
        <f t="shared" si="91"/>
        <v>0</v>
      </c>
      <c r="AD170" s="114">
        <f t="shared" si="92"/>
        <v>0</v>
      </c>
      <c r="AE170" s="7">
        <f t="shared" si="93"/>
        <v>0</v>
      </c>
      <c r="AF170" s="7">
        <f t="shared" si="94"/>
        <v>0</v>
      </c>
      <c r="AG170" s="43">
        <f t="shared" si="95"/>
        <v>0</v>
      </c>
      <c r="AH170" s="43">
        <f t="shared" si="96"/>
        <v>974</v>
      </c>
      <c r="AI170" s="43">
        <f t="shared" si="97"/>
        <v>0</v>
      </c>
    </row>
    <row r="171" spans="1:35" x14ac:dyDescent="0.25">
      <c r="A171" s="113" t="s">
        <v>195</v>
      </c>
      <c r="C171" t="s">
        <v>837</v>
      </c>
      <c r="D171" t="s">
        <v>838</v>
      </c>
      <c r="F171" s="34">
        <v>1</v>
      </c>
      <c r="G171" s="35">
        <f t="shared" si="84"/>
        <v>0</v>
      </c>
      <c r="H171" s="36">
        <f t="shared" si="85"/>
        <v>5543</v>
      </c>
      <c r="I171" s="37">
        <v>1000</v>
      </c>
      <c r="J171" s="140">
        <v>2</v>
      </c>
      <c r="K171" t="s">
        <v>735</v>
      </c>
      <c r="L171" s="24">
        <v>1</v>
      </c>
      <c r="M171" s="38"/>
      <c r="N171" s="39">
        <f>INDEX(Inventory!E:E,MATCH(K171, Inventory!A:A),1)</f>
        <v>5543</v>
      </c>
      <c r="O171" s="40">
        <f t="shared" si="86"/>
        <v>1000</v>
      </c>
      <c r="P171" s="41">
        <f t="shared" si="87"/>
        <v>5.5430000000000001</v>
      </c>
      <c r="Q171" s="41" cm="1">
        <f t="array" ref="Q171">MAX(IF($A:$A=$A171, $P:$P))</f>
        <v>12.952</v>
      </c>
      <c r="R171" s="113" t="s">
        <v>209</v>
      </c>
      <c r="S171" s="116">
        <v>1</v>
      </c>
      <c r="T171" s="117"/>
      <c r="U171" s="39">
        <f>IF(S171 &gt; 0,INDEX(Inventory!E:E,MATCH(R171, Inventory!A:A),1), "")</f>
        <v>9872</v>
      </c>
      <c r="V171" s="40">
        <f t="shared" si="88"/>
        <v>1000</v>
      </c>
      <c r="W171" s="41">
        <f t="shared" si="89"/>
        <v>9.8719999999999999</v>
      </c>
      <c r="Z171" s="38"/>
      <c r="AA171" s="39" t="str">
        <f>IF(Y171&gt;0, INDEX(Inventory!E:E,MATCH(X171, Inventory!A:A),1), "")</f>
        <v/>
      </c>
      <c r="AB171" s="42">
        <f t="shared" si="90"/>
        <v>0</v>
      </c>
      <c r="AC171" s="41">
        <f t="shared" si="91"/>
        <v>0</v>
      </c>
      <c r="AD171" s="114">
        <f t="shared" si="92"/>
        <v>0</v>
      </c>
      <c r="AE171" s="7">
        <f t="shared" si="93"/>
        <v>0</v>
      </c>
      <c r="AF171" s="7">
        <f t="shared" si="94"/>
        <v>0</v>
      </c>
      <c r="AG171" s="43">
        <f t="shared" si="95"/>
        <v>0</v>
      </c>
      <c r="AH171" s="43">
        <f t="shared" si="96"/>
        <v>5543</v>
      </c>
      <c r="AI171" s="43">
        <f t="shared" si="97"/>
        <v>0</v>
      </c>
    </row>
    <row r="172" spans="1:35" x14ac:dyDescent="0.25">
      <c r="A172" s="113" t="s">
        <v>195</v>
      </c>
      <c r="C172" t="s">
        <v>837</v>
      </c>
      <c r="D172" t="s">
        <v>838</v>
      </c>
      <c r="F172" s="34">
        <v>2</v>
      </c>
      <c r="G172" s="35">
        <f t="shared" si="84"/>
        <v>0</v>
      </c>
      <c r="H172" s="36">
        <f t="shared" si="85"/>
        <v>12952</v>
      </c>
      <c r="I172" s="37">
        <v>1000</v>
      </c>
      <c r="J172" s="140">
        <v>1</v>
      </c>
      <c r="K172" t="s">
        <v>725</v>
      </c>
      <c r="L172" s="24">
        <v>1</v>
      </c>
      <c r="M172" s="38"/>
      <c r="N172" s="39">
        <f>INDEX(Inventory!E:E,MATCH(K172, Inventory!A:A),1)</f>
        <v>6476</v>
      </c>
      <c r="O172" s="40">
        <f t="shared" si="86"/>
        <v>500</v>
      </c>
      <c r="P172" s="41">
        <f t="shared" si="87"/>
        <v>12.952</v>
      </c>
      <c r="Q172" s="41" cm="1">
        <f t="array" ref="Q172">MAX(IF($A:$A=$A172, $P:$P))</f>
        <v>12.952</v>
      </c>
      <c r="R172" s="113"/>
      <c r="S172" s="116"/>
      <c r="T172" s="117"/>
      <c r="U172" s="39" t="str">
        <f>IF(S172 &gt; 0,INDEX(Inventory!E:E,MATCH(R172, Inventory!A:A),1), "")</f>
        <v/>
      </c>
      <c r="V172" s="40">
        <f t="shared" si="88"/>
        <v>0</v>
      </c>
      <c r="W172" s="41">
        <f t="shared" si="89"/>
        <v>0</v>
      </c>
      <c r="Z172" s="38"/>
      <c r="AA172" s="39" t="str">
        <f>IF(Y172&gt;0, INDEX(Inventory!E:E,MATCH(X172, Inventory!A:A),1), "")</f>
        <v/>
      </c>
      <c r="AB172" s="42">
        <f t="shared" si="90"/>
        <v>0</v>
      </c>
      <c r="AC172" s="41">
        <f t="shared" si="91"/>
        <v>0</v>
      </c>
      <c r="AD172" s="114">
        <f t="shared" si="92"/>
        <v>0</v>
      </c>
      <c r="AE172" s="7">
        <f t="shared" si="93"/>
        <v>0</v>
      </c>
      <c r="AF172" s="7">
        <f t="shared" si="94"/>
        <v>0</v>
      </c>
      <c r="AG172" s="43">
        <f t="shared" si="95"/>
        <v>12952</v>
      </c>
      <c r="AH172" s="43">
        <f t="shared" si="96"/>
        <v>0</v>
      </c>
      <c r="AI172" s="43">
        <f t="shared" si="97"/>
        <v>0</v>
      </c>
    </row>
    <row r="173" spans="1:35" x14ac:dyDescent="0.25">
      <c r="A173" s="113" t="s">
        <v>900</v>
      </c>
      <c r="B173" s="113" t="s">
        <v>901</v>
      </c>
      <c r="C173" t="s">
        <v>836</v>
      </c>
      <c r="D173" t="s">
        <v>833</v>
      </c>
      <c r="F173" s="34">
        <v>1</v>
      </c>
      <c r="G173" s="35">
        <f t="shared" si="84"/>
        <v>0</v>
      </c>
      <c r="H173" s="36">
        <f t="shared" si="85"/>
        <v>42</v>
      </c>
      <c r="I173" s="37"/>
      <c r="J173" s="140">
        <v>3</v>
      </c>
      <c r="K173" t="s">
        <v>196</v>
      </c>
      <c r="L173" s="24">
        <v>60</v>
      </c>
      <c r="M173" s="45"/>
      <c r="N173" s="39">
        <f>INDEX(Inventory!E:E,MATCH(K173, Inventory!A:A),1)</f>
        <v>616165</v>
      </c>
      <c r="O173" s="40">
        <f t="shared" si="86"/>
        <v>0</v>
      </c>
      <c r="P173" s="41">
        <f t="shared" si="87"/>
        <v>0</v>
      </c>
      <c r="Q173" s="41" cm="1">
        <f t="array" ref="Q173">MAX(IF($A:$A=$A173, $P:$P))</f>
        <v>0</v>
      </c>
      <c r="R173" s="113" t="s">
        <v>752</v>
      </c>
      <c r="S173" s="116">
        <v>30</v>
      </c>
      <c r="T173" s="117"/>
      <c r="U173" s="39">
        <f>IF(S173 &gt; 0,INDEX(Inventory!E:E,MATCH(R173, Inventory!A:A),1), "")</f>
        <v>4286</v>
      </c>
      <c r="V173" s="40">
        <f t="shared" si="88"/>
        <v>0</v>
      </c>
      <c r="W173" s="41">
        <f t="shared" si="89"/>
        <v>0</v>
      </c>
      <c r="X173" t="s">
        <v>758</v>
      </c>
      <c r="Y173" s="24">
        <v>1</v>
      </c>
      <c r="Z173" s="38"/>
      <c r="AA173" s="39">
        <f>IF(Y173&gt;0, INDEX(Inventory!E:E,MATCH(X173, Inventory!A:A),1), "")</f>
        <v>42</v>
      </c>
      <c r="AB173" s="42">
        <f t="shared" si="90"/>
        <v>0</v>
      </c>
      <c r="AC173" s="41">
        <f t="shared" si="91"/>
        <v>0</v>
      </c>
      <c r="AD173" s="114">
        <f t="shared" si="92"/>
        <v>0</v>
      </c>
      <c r="AE173" s="7">
        <f t="shared" si="93"/>
        <v>0</v>
      </c>
      <c r="AF173" s="7">
        <f t="shared" si="94"/>
        <v>0</v>
      </c>
      <c r="AG173" s="43">
        <f t="shared" si="95"/>
        <v>0</v>
      </c>
      <c r="AH173" s="43">
        <f t="shared" si="96"/>
        <v>0</v>
      </c>
      <c r="AI173" s="43">
        <f t="shared" si="97"/>
        <v>42</v>
      </c>
    </row>
    <row r="174" spans="1:35" x14ac:dyDescent="0.25">
      <c r="A174" s="113" t="s">
        <v>902</v>
      </c>
      <c r="B174" s="113" t="s">
        <v>903</v>
      </c>
      <c r="C174" t="s">
        <v>836</v>
      </c>
      <c r="D174" t="s">
        <v>833</v>
      </c>
      <c r="F174" s="34">
        <v>1</v>
      </c>
      <c r="G174" s="35">
        <f t="shared" si="84"/>
        <v>0</v>
      </c>
      <c r="H174" s="36">
        <f t="shared" si="85"/>
        <v>123</v>
      </c>
      <c r="I174" s="37"/>
      <c r="J174" s="140">
        <v>3</v>
      </c>
      <c r="K174" t="s">
        <v>196</v>
      </c>
      <c r="L174" s="24">
        <v>50</v>
      </c>
      <c r="M174" s="45"/>
      <c r="N174" s="39">
        <f>INDEX(Inventory!E:E,MATCH(K174, Inventory!A:A),1)</f>
        <v>616165</v>
      </c>
      <c r="O174" s="40">
        <f t="shared" si="86"/>
        <v>0</v>
      </c>
      <c r="P174" s="41">
        <f t="shared" si="87"/>
        <v>0</v>
      </c>
      <c r="Q174" s="41" cm="1">
        <f t="array" ref="Q174">MAX(IF($A:$A=$A174, $P:$P))</f>
        <v>0</v>
      </c>
      <c r="R174" s="113" t="s">
        <v>191</v>
      </c>
      <c r="S174" s="116">
        <v>25</v>
      </c>
      <c r="T174" s="117"/>
      <c r="U174" s="39">
        <f>IF(S174 &gt; 0,INDEX(Inventory!E:E,MATCH(R174, Inventory!A:A),1), "")</f>
        <v>3084</v>
      </c>
      <c r="V174" s="40">
        <f t="shared" si="88"/>
        <v>0</v>
      </c>
      <c r="W174" s="41">
        <f t="shared" si="89"/>
        <v>0</v>
      </c>
      <c r="X174" t="s">
        <v>726</v>
      </c>
      <c r="Y174" s="24">
        <v>20</v>
      </c>
      <c r="Z174" s="38"/>
      <c r="AA174" s="39">
        <f>IF(Y174&gt;0, INDEX(Inventory!E:E,MATCH(X174, Inventory!A:A),1), "")</f>
        <v>18593</v>
      </c>
      <c r="AB174" s="42">
        <f t="shared" si="90"/>
        <v>0</v>
      </c>
      <c r="AC174" s="41">
        <f t="shared" si="91"/>
        <v>0</v>
      </c>
      <c r="AD174" s="114">
        <f t="shared" si="92"/>
        <v>0</v>
      </c>
      <c r="AE174" s="7">
        <f t="shared" si="93"/>
        <v>0</v>
      </c>
      <c r="AF174" s="7">
        <f t="shared" si="94"/>
        <v>0</v>
      </c>
      <c r="AG174" s="43">
        <f t="shared" si="95"/>
        <v>0</v>
      </c>
      <c r="AH174" s="43">
        <f t="shared" si="96"/>
        <v>0</v>
      </c>
      <c r="AI174" s="43">
        <f t="shared" si="97"/>
        <v>123.36</v>
      </c>
    </row>
    <row r="175" spans="1:35" x14ac:dyDescent="0.25">
      <c r="A175" s="113" t="s">
        <v>782</v>
      </c>
      <c r="D175" t="s">
        <v>833</v>
      </c>
      <c r="E175" t="s">
        <v>790</v>
      </c>
      <c r="F175" s="34">
        <v>1</v>
      </c>
      <c r="G175" s="35">
        <f t="shared" si="84"/>
        <v>0</v>
      </c>
      <c r="H175" s="36">
        <f t="shared" si="85"/>
        <v>44</v>
      </c>
      <c r="I175" s="37"/>
      <c r="J175" s="140">
        <v>2</v>
      </c>
      <c r="K175" t="s">
        <v>791</v>
      </c>
      <c r="L175" s="24">
        <v>1</v>
      </c>
      <c r="M175" s="38"/>
      <c r="N175" s="39">
        <f>INDEX(Inventory!E:E,MATCH(K175, Inventory!A:A),1)</f>
        <v>47</v>
      </c>
      <c r="O175" s="40">
        <f t="shared" si="86"/>
        <v>0</v>
      </c>
      <c r="P175" s="41">
        <f t="shared" si="87"/>
        <v>0</v>
      </c>
      <c r="Q175" s="41" cm="1">
        <f t="array" ref="Q175">MAX(IF($A:$A=$A175, $P:$P))</f>
        <v>0</v>
      </c>
      <c r="R175" s="113" t="s">
        <v>772</v>
      </c>
      <c r="S175" s="116">
        <v>1</v>
      </c>
      <c r="T175" s="117"/>
      <c r="U175" s="39">
        <f>IF(S175 &gt; 0,INDEX(Inventory!E:E,MATCH(R175, Inventory!A:A),1), "")</f>
        <v>44</v>
      </c>
      <c r="V175" s="40">
        <f t="shared" si="88"/>
        <v>0</v>
      </c>
      <c r="W175" s="41">
        <f t="shared" si="89"/>
        <v>0</v>
      </c>
      <c r="Z175" s="38"/>
      <c r="AA175" s="39" t="str">
        <f>IF(Y175&gt;0, INDEX(Inventory!E:E,MATCH(X175, Inventory!A:A),1), "")</f>
        <v/>
      </c>
      <c r="AB175" s="42">
        <f t="shared" si="90"/>
        <v>0</v>
      </c>
      <c r="AC175" s="41">
        <f t="shared" si="91"/>
        <v>0</v>
      </c>
      <c r="AD175" s="114">
        <f t="shared" si="92"/>
        <v>0</v>
      </c>
      <c r="AE175" s="7">
        <f t="shared" si="93"/>
        <v>0</v>
      </c>
      <c r="AF175" s="7">
        <f t="shared" si="94"/>
        <v>0</v>
      </c>
      <c r="AG175" s="43">
        <f t="shared" si="95"/>
        <v>0</v>
      </c>
      <c r="AH175" s="43">
        <f t="shared" si="96"/>
        <v>44</v>
      </c>
      <c r="AI175" s="43">
        <f t="shared" si="97"/>
        <v>0</v>
      </c>
    </row>
    <row r="176" spans="1:35" x14ac:dyDescent="0.25">
      <c r="A176" s="113" t="s">
        <v>904</v>
      </c>
      <c r="C176" t="s">
        <v>836</v>
      </c>
      <c r="D176" t="s">
        <v>833</v>
      </c>
      <c r="F176" s="34">
        <v>1</v>
      </c>
      <c r="G176" s="54">
        <f t="shared" si="84"/>
        <v>0</v>
      </c>
      <c r="H176" s="36">
        <f t="shared" si="85"/>
        <v>53</v>
      </c>
      <c r="I176" s="37"/>
      <c r="J176" s="140">
        <v>3</v>
      </c>
      <c r="K176" t="s">
        <v>769</v>
      </c>
      <c r="L176" s="24">
        <v>2</v>
      </c>
      <c r="M176" s="45"/>
      <c r="N176" s="56">
        <f>INDEX(Inventory!E:E,MATCH(K176, Inventory!A:A),1)</f>
        <v>106</v>
      </c>
      <c r="O176" s="40">
        <f t="shared" si="86"/>
        <v>0</v>
      </c>
      <c r="P176" s="41">
        <f t="shared" si="87"/>
        <v>0</v>
      </c>
      <c r="Q176" s="41" cm="1">
        <f t="array" ref="Q176">MAX(IF($A:$A=$A176, $P:$P))</f>
        <v>0</v>
      </c>
      <c r="R176" s="113" t="s">
        <v>726</v>
      </c>
      <c r="S176" s="116">
        <v>40</v>
      </c>
      <c r="T176" s="117"/>
      <c r="U176" s="56">
        <f>IF(S176 &gt; 0,INDEX(Inventory!E:E,MATCH(R176, Inventory!A:A),1), "")</f>
        <v>18593</v>
      </c>
      <c r="V176" s="40">
        <f t="shared" si="88"/>
        <v>0</v>
      </c>
      <c r="W176" s="41">
        <f t="shared" si="89"/>
        <v>0</v>
      </c>
      <c r="X176" t="s">
        <v>752</v>
      </c>
      <c r="Y176" s="24">
        <v>30</v>
      </c>
      <c r="Z176" s="38"/>
      <c r="AA176" s="56">
        <f>IF(Y176&gt;0, INDEX(Inventory!E:E,MATCH(X176, Inventory!A:A),1), "")</f>
        <v>4286</v>
      </c>
      <c r="AB176" s="42">
        <f t="shared" si="90"/>
        <v>0</v>
      </c>
      <c r="AC176" s="41">
        <f t="shared" si="91"/>
        <v>0</v>
      </c>
      <c r="AD176" s="114">
        <f t="shared" si="92"/>
        <v>0</v>
      </c>
      <c r="AE176" s="7">
        <f t="shared" si="93"/>
        <v>0</v>
      </c>
      <c r="AF176" s="7">
        <f t="shared" si="94"/>
        <v>0</v>
      </c>
      <c r="AG176" s="43">
        <f t="shared" si="95"/>
        <v>0</v>
      </c>
      <c r="AH176" s="43">
        <f t="shared" si="96"/>
        <v>0</v>
      </c>
      <c r="AI176" s="43">
        <f t="shared" si="97"/>
        <v>53</v>
      </c>
    </row>
    <row r="177" spans="1:35" x14ac:dyDescent="0.25">
      <c r="A177" s="113" t="s">
        <v>196</v>
      </c>
      <c r="C177" t="s">
        <v>837</v>
      </c>
      <c r="D177" t="s">
        <v>838</v>
      </c>
      <c r="F177" s="46">
        <v>250</v>
      </c>
      <c r="G177" s="59">
        <f t="shared" si="84"/>
        <v>500</v>
      </c>
      <c r="H177" s="60">
        <f t="shared" si="85"/>
        <v>4250</v>
      </c>
      <c r="I177" s="37">
        <v>30000</v>
      </c>
      <c r="J177" s="140">
        <v>1</v>
      </c>
      <c r="K177" t="s">
        <v>720</v>
      </c>
      <c r="L177" s="24">
        <v>1</v>
      </c>
      <c r="M177" s="45">
        <v>2</v>
      </c>
      <c r="N177" s="58">
        <f>INDEX(Inventory!E:E,MATCH(K177, Inventory!A:A),1)</f>
        <v>17</v>
      </c>
      <c r="O177" s="48">
        <f t="shared" si="86"/>
        <v>120</v>
      </c>
      <c r="P177" s="41">
        <f t="shared" si="87"/>
        <v>0.14166666666666666</v>
      </c>
      <c r="Q177" s="41" cm="1">
        <f t="array" ref="Q177">MAX(IF($A:$A=$A177, $P:$P))</f>
        <v>0.14166666666666666</v>
      </c>
      <c r="R177" s="113"/>
      <c r="S177" s="116"/>
      <c r="T177" s="118"/>
      <c r="U177" s="58" t="str">
        <f>IF(S177 &gt; 0,INDEX(Inventory!E:E,MATCH(R177, Inventory!A:A),1), "")</f>
        <v/>
      </c>
      <c r="V177" s="48">
        <f t="shared" si="88"/>
        <v>0</v>
      </c>
      <c r="W177" s="41">
        <f t="shared" si="89"/>
        <v>0</v>
      </c>
      <c r="X177" s="62"/>
      <c r="Z177" s="61"/>
      <c r="AA177" s="58" t="str">
        <f>IF(Y177&gt;0, INDEX(Inventory!E:E,MATCH(X177, Inventory!A:A),1), "")</f>
        <v/>
      </c>
      <c r="AB177" s="49">
        <f t="shared" si="90"/>
        <v>0</v>
      </c>
      <c r="AC177" s="41">
        <f t="shared" si="91"/>
        <v>0</v>
      </c>
      <c r="AD177" s="114">
        <f t="shared" si="92"/>
        <v>500</v>
      </c>
      <c r="AE177" s="7">
        <f t="shared" si="93"/>
        <v>0</v>
      </c>
      <c r="AF177" s="7">
        <f t="shared" si="94"/>
        <v>0</v>
      </c>
      <c r="AG177" s="63">
        <f t="shared" si="95"/>
        <v>4250</v>
      </c>
      <c r="AH177" s="63">
        <f t="shared" si="96"/>
        <v>0</v>
      </c>
      <c r="AI177" s="63">
        <f t="shared" si="97"/>
        <v>0</v>
      </c>
    </row>
    <row r="178" spans="1:35" x14ac:dyDescent="0.25">
      <c r="A178" s="113" t="s">
        <v>196</v>
      </c>
      <c r="C178" t="s">
        <v>837</v>
      </c>
      <c r="D178" t="s">
        <v>838</v>
      </c>
      <c r="F178" s="46">
        <v>250</v>
      </c>
      <c r="G178" s="59">
        <f t="shared" si="84"/>
        <v>12500</v>
      </c>
      <c r="H178" s="60">
        <f t="shared" si="85"/>
        <v>2250</v>
      </c>
      <c r="I178" s="37">
        <v>30000</v>
      </c>
      <c r="J178" s="140">
        <v>1</v>
      </c>
      <c r="K178" t="s">
        <v>737</v>
      </c>
      <c r="L178" s="24">
        <v>1</v>
      </c>
      <c r="M178" s="45">
        <v>50</v>
      </c>
      <c r="N178" s="58">
        <f>INDEX(Inventory!E:E,MATCH(K178, Inventory!A:A),1)</f>
        <v>9</v>
      </c>
      <c r="O178" s="48">
        <f t="shared" si="86"/>
        <v>120</v>
      </c>
      <c r="P178" s="41">
        <f t="shared" si="87"/>
        <v>7.4999999999999997E-2</v>
      </c>
      <c r="Q178" s="41" cm="1">
        <f t="array" ref="Q178">MAX(IF($A:$A=$A178, $P:$P))</f>
        <v>0.14166666666666666</v>
      </c>
      <c r="R178" s="113"/>
      <c r="S178" s="116"/>
      <c r="T178" s="118"/>
      <c r="U178" s="58" t="str">
        <f>IF(S178 &gt; 0,INDEX(Inventory!E:E,MATCH(R178, Inventory!A:A),1), "")</f>
        <v/>
      </c>
      <c r="V178" s="48">
        <f t="shared" si="88"/>
        <v>0</v>
      </c>
      <c r="W178" s="41">
        <f t="shared" si="89"/>
        <v>0</v>
      </c>
      <c r="X178" s="62"/>
      <c r="Z178" s="61"/>
      <c r="AA178" s="58" t="str">
        <f>IF(Y178&gt;0, INDEX(Inventory!E:E,MATCH(X178, Inventory!A:A),1), "")</f>
        <v/>
      </c>
      <c r="AB178" s="49">
        <f t="shared" si="90"/>
        <v>0</v>
      </c>
      <c r="AC178" s="41">
        <f t="shared" si="91"/>
        <v>0</v>
      </c>
      <c r="AD178" s="114">
        <f t="shared" si="92"/>
        <v>12500</v>
      </c>
      <c r="AE178" s="7">
        <f t="shared" si="93"/>
        <v>0</v>
      </c>
      <c r="AF178" s="7">
        <f t="shared" si="94"/>
        <v>0</v>
      </c>
      <c r="AG178" s="63">
        <f t="shared" si="95"/>
        <v>2250</v>
      </c>
      <c r="AH178" s="63">
        <f t="shared" si="96"/>
        <v>0</v>
      </c>
      <c r="AI178" s="63">
        <f t="shared" si="97"/>
        <v>0</v>
      </c>
    </row>
    <row r="179" spans="1:35" x14ac:dyDescent="0.25">
      <c r="A179" s="113" t="s">
        <v>196</v>
      </c>
      <c r="C179" t="s">
        <v>837</v>
      </c>
      <c r="D179" t="s">
        <v>838</v>
      </c>
      <c r="F179" s="46">
        <v>250</v>
      </c>
      <c r="G179" s="59">
        <f t="shared" si="84"/>
        <v>12500</v>
      </c>
      <c r="H179" s="60">
        <f t="shared" si="85"/>
        <v>1250</v>
      </c>
      <c r="I179" s="37">
        <v>30000</v>
      </c>
      <c r="J179" s="140">
        <v>1</v>
      </c>
      <c r="K179" t="s">
        <v>755</v>
      </c>
      <c r="L179" s="24">
        <v>1</v>
      </c>
      <c r="M179" s="45">
        <v>50</v>
      </c>
      <c r="N179" s="58">
        <f>INDEX(Inventory!E:E,MATCH(K179, Inventory!A:A),1)</f>
        <v>5</v>
      </c>
      <c r="O179" s="48">
        <f t="shared" si="86"/>
        <v>120</v>
      </c>
      <c r="P179" s="41">
        <f t="shared" si="87"/>
        <v>4.1666666666666664E-2</v>
      </c>
      <c r="Q179" s="41" cm="1">
        <f t="array" ref="Q179">MAX(IF($A:$A=$A179, $P:$P))</f>
        <v>0.14166666666666666</v>
      </c>
      <c r="R179" s="113"/>
      <c r="S179" s="116"/>
      <c r="T179" s="118"/>
      <c r="U179" s="58" t="str">
        <f>IF(S179 &gt; 0,INDEX(Inventory!E:E,MATCH(R179, Inventory!A:A),1), "")</f>
        <v/>
      </c>
      <c r="V179" s="48">
        <f t="shared" si="88"/>
        <v>0</v>
      </c>
      <c r="W179" s="41">
        <f t="shared" si="89"/>
        <v>0</v>
      </c>
      <c r="X179" s="62"/>
      <c r="Z179" s="61"/>
      <c r="AA179" s="58" t="str">
        <f>IF(Y179&gt;0, INDEX(Inventory!E:E,MATCH(X179, Inventory!A:A),1), "")</f>
        <v/>
      </c>
      <c r="AB179" s="49">
        <f t="shared" si="90"/>
        <v>0</v>
      </c>
      <c r="AC179" s="41">
        <f t="shared" si="91"/>
        <v>0</v>
      </c>
      <c r="AD179" s="114">
        <f t="shared" si="92"/>
        <v>12500</v>
      </c>
      <c r="AE179" s="7">
        <f t="shared" si="93"/>
        <v>0</v>
      </c>
      <c r="AF179" s="7">
        <f t="shared" si="94"/>
        <v>0</v>
      </c>
      <c r="AG179" s="63">
        <f t="shared" si="95"/>
        <v>1250</v>
      </c>
      <c r="AH179" s="63">
        <f t="shared" si="96"/>
        <v>0</v>
      </c>
      <c r="AI179" s="63">
        <f t="shared" si="97"/>
        <v>0</v>
      </c>
    </row>
    <row r="180" spans="1:35" x14ac:dyDescent="0.25">
      <c r="A180" s="113" t="s">
        <v>198</v>
      </c>
      <c r="C180" t="s">
        <v>837</v>
      </c>
      <c r="D180" t="s">
        <v>838</v>
      </c>
      <c r="F180" s="34">
        <v>1</v>
      </c>
      <c r="G180" s="57">
        <f t="shared" si="84"/>
        <v>0</v>
      </c>
      <c r="H180" s="60">
        <f t="shared" si="85"/>
        <v>2235</v>
      </c>
      <c r="I180" s="64"/>
      <c r="J180" s="140">
        <v>2</v>
      </c>
      <c r="K180" t="s">
        <v>193</v>
      </c>
      <c r="L180" s="24">
        <v>2</v>
      </c>
      <c r="M180" s="38"/>
      <c r="N180" s="56">
        <f>INDEX(Inventory!E:E,MATCH(K180, Inventory!A:A),1)</f>
        <v>4470</v>
      </c>
      <c r="O180" s="65">
        <f t="shared" si="86"/>
        <v>0</v>
      </c>
      <c r="P180" s="41">
        <f t="shared" si="87"/>
        <v>0</v>
      </c>
      <c r="Q180" s="41" cm="1">
        <f t="array" ref="Q180">MAX(IF($A:$A=$A180, $P:$P))</f>
        <v>0</v>
      </c>
      <c r="R180" s="113" t="s">
        <v>209</v>
      </c>
      <c r="S180" s="116">
        <v>1</v>
      </c>
      <c r="T180" s="118"/>
      <c r="U180" s="56">
        <f>IF(S180 &gt; 0,INDEX(Inventory!E:E,MATCH(R180, Inventory!A:A),1), "")</f>
        <v>9872</v>
      </c>
      <c r="V180" s="66">
        <f t="shared" si="88"/>
        <v>0</v>
      </c>
      <c r="W180" s="119">
        <f t="shared" si="89"/>
        <v>0</v>
      </c>
      <c r="X180" s="62"/>
      <c r="Z180" s="61"/>
      <c r="AA180" s="56" t="str">
        <f>IF(Y180&gt;0, INDEX(Inventory!E:E,MATCH(X180, Inventory!A:A),1), "")</f>
        <v/>
      </c>
      <c r="AB180" s="67">
        <f t="shared" si="90"/>
        <v>0</v>
      </c>
      <c r="AC180" s="41">
        <f t="shared" si="91"/>
        <v>0</v>
      </c>
      <c r="AD180" s="115">
        <f t="shared" si="92"/>
        <v>0</v>
      </c>
      <c r="AE180" s="68">
        <f t="shared" si="93"/>
        <v>0</v>
      </c>
      <c r="AF180" s="68">
        <f t="shared" si="94"/>
        <v>0</v>
      </c>
      <c r="AG180" s="63">
        <f t="shared" si="95"/>
        <v>0</v>
      </c>
      <c r="AH180" s="63">
        <f t="shared" si="96"/>
        <v>2235</v>
      </c>
      <c r="AI180" s="63">
        <f t="shared" si="97"/>
        <v>0</v>
      </c>
    </row>
    <row r="181" spans="1:35" x14ac:dyDescent="0.25">
      <c r="A181" s="113" t="s">
        <v>198</v>
      </c>
      <c r="C181" t="s">
        <v>837</v>
      </c>
      <c r="D181" t="s">
        <v>838</v>
      </c>
      <c r="F181" s="34">
        <v>2</v>
      </c>
      <c r="G181" s="57">
        <f t="shared" si="84"/>
        <v>0</v>
      </c>
      <c r="H181" s="60">
        <f t="shared" si="85"/>
        <v>8940</v>
      </c>
      <c r="I181" s="64"/>
      <c r="J181" s="140">
        <v>2</v>
      </c>
      <c r="K181" t="s">
        <v>198</v>
      </c>
      <c r="L181" s="24">
        <v>1</v>
      </c>
      <c r="M181" s="38"/>
      <c r="N181" s="56">
        <f>INDEX(Inventory!E:E,MATCH(K181, Inventory!A:A),1)</f>
        <v>9166</v>
      </c>
      <c r="O181" s="65">
        <f t="shared" si="86"/>
        <v>0</v>
      </c>
      <c r="P181" s="41">
        <f t="shared" si="87"/>
        <v>0</v>
      </c>
      <c r="Q181" s="41" cm="1">
        <f t="array" ref="Q181">MAX(IF($A:$A=$A181, $P:$P))</f>
        <v>0</v>
      </c>
      <c r="R181" s="113" t="s">
        <v>193</v>
      </c>
      <c r="S181" s="116">
        <v>1</v>
      </c>
      <c r="T181" s="118"/>
      <c r="U181" s="56">
        <f>IF(S181 &gt; 0,INDEX(Inventory!E:E,MATCH(R181, Inventory!A:A),1), "")</f>
        <v>4470</v>
      </c>
      <c r="V181" s="66">
        <f t="shared" si="88"/>
        <v>0</v>
      </c>
      <c r="W181" s="119">
        <f t="shared" si="89"/>
        <v>0</v>
      </c>
      <c r="X181" s="62"/>
      <c r="Z181" s="61"/>
      <c r="AA181" s="56" t="str">
        <f>IF(Y181&gt;0, INDEX(Inventory!E:E,MATCH(X181, Inventory!A:A),1), "")</f>
        <v/>
      </c>
      <c r="AB181" s="67">
        <f t="shared" si="90"/>
        <v>0</v>
      </c>
      <c r="AC181" s="41">
        <f t="shared" si="91"/>
        <v>0</v>
      </c>
      <c r="AD181" s="115">
        <f t="shared" si="92"/>
        <v>0</v>
      </c>
      <c r="AE181" s="68">
        <f t="shared" si="93"/>
        <v>0</v>
      </c>
      <c r="AF181" s="68">
        <f t="shared" si="94"/>
        <v>0</v>
      </c>
      <c r="AG181" s="63">
        <f t="shared" si="95"/>
        <v>0</v>
      </c>
      <c r="AH181" s="63">
        <f t="shared" si="96"/>
        <v>8940</v>
      </c>
      <c r="AI181" s="63">
        <f t="shared" si="97"/>
        <v>0</v>
      </c>
    </row>
    <row r="182" spans="1:35" x14ac:dyDescent="0.25">
      <c r="A182" s="113" t="s">
        <v>198</v>
      </c>
      <c r="C182" t="s">
        <v>837</v>
      </c>
      <c r="D182" t="s">
        <v>838</v>
      </c>
      <c r="F182" s="34">
        <v>1</v>
      </c>
      <c r="G182" s="57">
        <f t="shared" si="84"/>
        <v>0</v>
      </c>
      <c r="H182" s="60">
        <f t="shared" si="85"/>
        <v>974</v>
      </c>
      <c r="I182" s="64"/>
      <c r="J182" s="140">
        <v>2</v>
      </c>
      <c r="K182" t="s">
        <v>735</v>
      </c>
      <c r="L182" s="24">
        <v>1</v>
      </c>
      <c r="M182" s="38"/>
      <c r="N182" s="56">
        <f>INDEX(Inventory!E:E,MATCH(K182, Inventory!A:A),1)</f>
        <v>5543</v>
      </c>
      <c r="O182" s="65">
        <f t="shared" si="86"/>
        <v>0</v>
      </c>
      <c r="P182" s="41">
        <f t="shared" si="87"/>
        <v>0</v>
      </c>
      <c r="Q182" s="41" cm="1">
        <f t="array" ref="Q182">MAX(IF($A:$A=$A182, $P:$P))</f>
        <v>0</v>
      </c>
      <c r="R182" s="113" t="s">
        <v>789</v>
      </c>
      <c r="S182" s="116">
        <v>1</v>
      </c>
      <c r="T182" s="118"/>
      <c r="U182" s="56">
        <f>IF(S182 &gt; 0,INDEX(Inventory!E:E,MATCH(R182, Inventory!A:A),1), "")</f>
        <v>974</v>
      </c>
      <c r="V182" s="66">
        <f t="shared" si="88"/>
        <v>0</v>
      </c>
      <c r="W182" s="119">
        <f t="shared" si="89"/>
        <v>0</v>
      </c>
      <c r="X182" s="62"/>
      <c r="Z182" s="61"/>
      <c r="AA182" s="56" t="str">
        <f>IF(Y182&gt;0, INDEX(Inventory!E:E,MATCH(X182, Inventory!A:A),1), "")</f>
        <v/>
      </c>
      <c r="AB182" s="67">
        <f t="shared" si="90"/>
        <v>0</v>
      </c>
      <c r="AC182" s="41">
        <f t="shared" si="91"/>
        <v>0</v>
      </c>
      <c r="AD182" s="115">
        <f t="shared" si="92"/>
        <v>0</v>
      </c>
      <c r="AE182" s="68">
        <f t="shared" si="93"/>
        <v>0</v>
      </c>
      <c r="AF182" s="68">
        <f t="shared" si="94"/>
        <v>0</v>
      </c>
      <c r="AG182" s="63">
        <f t="shared" si="95"/>
        <v>0</v>
      </c>
      <c r="AH182" s="63">
        <f t="shared" si="96"/>
        <v>974</v>
      </c>
      <c r="AI182" s="63">
        <f t="shared" si="97"/>
        <v>0</v>
      </c>
    </row>
    <row r="183" spans="1:35" x14ac:dyDescent="0.25">
      <c r="A183" s="113" t="s">
        <v>198</v>
      </c>
      <c r="C183" t="s">
        <v>837</v>
      </c>
      <c r="D183" t="s">
        <v>838</v>
      </c>
      <c r="F183" s="34">
        <v>1</v>
      </c>
      <c r="G183" s="47">
        <f t="shared" si="84"/>
        <v>0</v>
      </c>
      <c r="H183" s="36">
        <f t="shared" si="85"/>
        <v>974</v>
      </c>
      <c r="I183" s="37"/>
      <c r="J183" s="140">
        <v>2</v>
      </c>
      <c r="K183" t="s">
        <v>193</v>
      </c>
      <c r="L183" s="24">
        <v>1</v>
      </c>
      <c r="M183" s="38"/>
      <c r="N183" s="39">
        <f>INDEX(Inventory!E:E,MATCH(K183, Inventory!A:A),1)</f>
        <v>4470</v>
      </c>
      <c r="O183" s="40">
        <f t="shared" si="86"/>
        <v>0</v>
      </c>
      <c r="P183" s="41">
        <f t="shared" si="87"/>
        <v>0</v>
      </c>
      <c r="Q183" s="41" cm="1">
        <f t="array" ref="Q183">MAX(IF($A:$A=$A183, $P:$P))</f>
        <v>0</v>
      </c>
      <c r="R183" s="113" t="s">
        <v>789</v>
      </c>
      <c r="S183" s="116">
        <v>1</v>
      </c>
      <c r="T183" s="118"/>
      <c r="U183" s="39">
        <f>IF(S183 &gt; 0,INDEX(Inventory!E:E,MATCH(R183, Inventory!A:A),1), "")</f>
        <v>974</v>
      </c>
      <c r="V183" s="66">
        <f t="shared" si="88"/>
        <v>0</v>
      </c>
      <c r="W183" s="119">
        <f t="shared" si="89"/>
        <v>0</v>
      </c>
      <c r="X183" s="62"/>
      <c r="Z183" s="61"/>
      <c r="AA183" s="39" t="str">
        <f>IF(Y183&gt;0, INDEX(Inventory!E:E,MATCH(X183, Inventory!A:A),1), "")</f>
        <v/>
      </c>
      <c r="AB183" s="42">
        <f t="shared" si="90"/>
        <v>0</v>
      </c>
      <c r="AC183" s="41">
        <f t="shared" si="91"/>
        <v>0</v>
      </c>
      <c r="AD183" s="114">
        <f t="shared" si="92"/>
        <v>0</v>
      </c>
      <c r="AE183" s="7">
        <f t="shared" si="93"/>
        <v>0</v>
      </c>
      <c r="AF183" s="7">
        <f t="shared" si="94"/>
        <v>0</v>
      </c>
      <c r="AG183" s="43">
        <f t="shared" si="95"/>
        <v>0</v>
      </c>
      <c r="AH183" s="43">
        <f t="shared" si="96"/>
        <v>974</v>
      </c>
      <c r="AI183" s="43">
        <f t="shared" si="97"/>
        <v>0</v>
      </c>
    </row>
    <row r="184" spans="1:35" x14ac:dyDescent="0.25">
      <c r="A184" s="113" t="s">
        <v>905</v>
      </c>
      <c r="C184" t="s">
        <v>845</v>
      </c>
      <c r="D184" t="s">
        <v>833</v>
      </c>
      <c r="F184" s="34">
        <v>1</v>
      </c>
      <c r="G184" s="47">
        <f t="shared" si="84"/>
        <v>0</v>
      </c>
      <c r="H184" s="36">
        <f t="shared" si="85"/>
        <v>346</v>
      </c>
      <c r="I184" s="37"/>
      <c r="J184" s="140">
        <v>2</v>
      </c>
      <c r="K184" t="s">
        <v>199</v>
      </c>
      <c r="L184" s="24">
        <v>50</v>
      </c>
      <c r="M184" s="38"/>
      <c r="N184" s="39">
        <f>INDEX(Inventory!E:E,MATCH(K184, Inventory!A:A),1)</f>
        <v>19168</v>
      </c>
      <c r="O184" s="40">
        <f t="shared" si="86"/>
        <v>0</v>
      </c>
      <c r="P184" s="41">
        <f t="shared" si="87"/>
        <v>0</v>
      </c>
      <c r="Q184" s="41" cm="1">
        <f t="array" ref="Q184">MAX(IF($A:$A=$A184, $P:$P))</f>
        <v>0</v>
      </c>
      <c r="R184" s="113" t="s">
        <v>192</v>
      </c>
      <c r="S184" s="116">
        <v>25</v>
      </c>
      <c r="T184" s="118"/>
      <c r="U184" s="39">
        <f>IF(S184 &gt; 0,INDEX(Inventory!E:E,MATCH(R184, Inventory!A:A),1), "")</f>
        <v>8665</v>
      </c>
      <c r="V184" s="66">
        <f t="shared" si="88"/>
        <v>0</v>
      </c>
      <c r="W184" s="119">
        <f t="shared" si="89"/>
        <v>0</v>
      </c>
      <c r="X184" s="62"/>
      <c r="Z184" s="61"/>
      <c r="AA184" s="39" t="str">
        <f>IF(Y184&gt;0, INDEX(Inventory!E:E,MATCH(X184, Inventory!A:A),1), "")</f>
        <v/>
      </c>
      <c r="AB184" s="42">
        <f t="shared" si="90"/>
        <v>0</v>
      </c>
      <c r="AC184" s="41">
        <f t="shared" si="91"/>
        <v>0</v>
      </c>
      <c r="AD184" s="114">
        <f t="shared" si="92"/>
        <v>0</v>
      </c>
      <c r="AE184" s="7">
        <f t="shared" si="93"/>
        <v>0</v>
      </c>
      <c r="AF184" s="7">
        <f t="shared" si="94"/>
        <v>0</v>
      </c>
      <c r="AG184" s="43">
        <f t="shared" si="95"/>
        <v>0</v>
      </c>
      <c r="AH184" s="43">
        <f t="shared" si="96"/>
        <v>346.6</v>
      </c>
      <c r="AI184" s="43">
        <f t="shared" si="97"/>
        <v>0</v>
      </c>
    </row>
    <row r="185" spans="1:35" x14ac:dyDescent="0.25">
      <c r="A185" s="113" t="s">
        <v>199</v>
      </c>
      <c r="C185" t="s">
        <v>845</v>
      </c>
      <c r="D185" t="s">
        <v>838</v>
      </c>
      <c r="F185" s="34">
        <v>1</v>
      </c>
      <c r="G185" s="57">
        <f t="shared" si="84"/>
        <v>0</v>
      </c>
      <c r="H185" s="60">
        <f t="shared" si="85"/>
        <v>1819</v>
      </c>
      <c r="I185" s="64"/>
      <c r="J185" s="140">
        <v>2</v>
      </c>
      <c r="K185" t="s">
        <v>192</v>
      </c>
      <c r="L185" s="24">
        <v>1</v>
      </c>
      <c r="M185" s="45"/>
      <c r="N185" s="56">
        <f>INDEX(Inventory!E:E,MATCH(K185, Inventory!A:A),1)</f>
        <v>8665</v>
      </c>
      <c r="O185" s="65">
        <f t="shared" si="86"/>
        <v>0</v>
      </c>
      <c r="P185" s="41">
        <f t="shared" si="87"/>
        <v>0</v>
      </c>
      <c r="Q185" s="41" cm="1">
        <f t="array" ref="Q185">MAX(IF($A:$A=$A185, $P:$P))</f>
        <v>0</v>
      </c>
      <c r="R185" s="113" t="s">
        <v>323</v>
      </c>
      <c r="S185" s="116">
        <v>1</v>
      </c>
      <c r="T185" s="118"/>
      <c r="U185" s="56">
        <f>IF(S185 &gt; 0,INDEX(Inventory!E:E,MATCH(R185, Inventory!A:A),1), "")</f>
        <v>1819</v>
      </c>
      <c r="V185" s="66">
        <f t="shared" si="88"/>
        <v>0</v>
      </c>
      <c r="W185" s="119">
        <f t="shared" si="89"/>
        <v>0</v>
      </c>
      <c r="X185" s="62"/>
      <c r="Z185" s="61"/>
      <c r="AA185" s="56" t="str">
        <f>IF(Y185&gt;0, INDEX(Inventory!E:E,MATCH(X185, Inventory!A:A),1), "")</f>
        <v/>
      </c>
      <c r="AB185" s="67">
        <f t="shared" si="90"/>
        <v>0</v>
      </c>
      <c r="AC185" s="41">
        <f t="shared" si="91"/>
        <v>0</v>
      </c>
      <c r="AD185" s="115">
        <f t="shared" si="92"/>
        <v>0</v>
      </c>
      <c r="AE185" s="68">
        <f t="shared" si="93"/>
        <v>0</v>
      </c>
      <c r="AF185" s="68">
        <f t="shared" si="94"/>
        <v>0</v>
      </c>
      <c r="AG185" s="63">
        <f t="shared" si="95"/>
        <v>0</v>
      </c>
      <c r="AH185" s="63">
        <f t="shared" si="96"/>
        <v>1819</v>
      </c>
      <c r="AI185" s="63">
        <f t="shared" si="97"/>
        <v>0</v>
      </c>
    </row>
    <row r="186" spans="1:35" x14ac:dyDescent="0.25">
      <c r="A186" s="113" t="s">
        <v>199</v>
      </c>
      <c r="C186" t="s">
        <v>845</v>
      </c>
      <c r="D186" t="s">
        <v>838</v>
      </c>
      <c r="F186" s="34">
        <v>1</v>
      </c>
      <c r="G186" s="57">
        <f t="shared" si="84"/>
        <v>0</v>
      </c>
      <c r="H186" s="60">
        <f t="shared" si="85"/>
        <v>4332</v>
      </c>
      <c r="I186" s="64"/>
      <c r="J186" s="140">
        <v>2</v>
      </c>
      <c r="K186" t="s">
        <v>192</v>
      </c>
      <c r="L186" s="24">
        <v>2</v>
      </c>
      <c r="M186" s="38"/>
      <c r="N186" s="56">
        <f>INDEX(Inventory!E:E,MATCH(K186, Inventory!A:A),1)</f>
        <v>8665</v>
      </c>
      <c r="O186" s="65">
        <f t="shared" si="86"/>
        <v>0</v>
      </c>
      <c r="P186" s="41">
        <f t="shared" si="87"/>
        <v>0</v>
      </c>
      <c r="Q186" s="41" cm="1">
        <f t="array" ref="Q186">MAX(IF($A:$A=$A186, $P:$P))</f>
        <v>0</v>
      </c>
      <c r="R186" s="113" t="s">
        <v>209</v>
      </c>
      <c r="S186" s="116">
        <v>1</v>
      </c>
      <c r="T186" s="118"/>
      <c r="U186" s="56">
        <f>IF(S186 &gt; 0,INDEX(Inventory!E:E,MATCH(R186, Inventory!A:A),1), "")</f>
        <v>9872</v>
      </c>
      <c r="V186" s="66">
        <f t="shared" si="88"/>
        <v>0</v>
      </c>
      <c r="W186" s="119">
        <f t="shared" si="89"/>
        <v>0</v>
      </c>
      <c r="X186" s="62"/>
      <c r="Z186" s="61"/>
      <c r="AA186" s="56" t="str">
        <f>IF(Y186&gt;0, INDEX(Inventory!E:E,MATCH(X186, Inventory!A:A),1), "")</f>
        <v/>
      </c>
      <c r="AB186" s="67">
        <f t="shared" si="90"/>
        <v>0</v>
      </c>
      <c r="AC186" s="41">
        <f t="shared" si="91"/>
        <v>0</v>
      </c>
      <c r="AD186" s="115">
        <f t="shared" si="92"/>
        <v>0</v>
      </c>
      <c r="AE186" s="68">
        <f t="shared" si="93"/>
        <v>0</v>
      </c>
      <c r="AF186" s="68">
        <f t="shared" si="94"/>
        <v>0</v>
      </c>
      <c r="AG186" s="63">
        <f t="shared" si="95"/>
        <v>0</v>
      </c>
      <c r="AH186" s="63">
        <f t="shared" si="96"/>
        <v>4332.5</v>
      </c>
      <c r="AI186" s="63">
        <f t="shared" si="97"/>
        <v>0</v>
      </c>
    </row>
    <row r="187" spans="1:35" x14ac:dyDescent="0.25">
      <c r="A187" s="113" t="s">
        <v>199</v>
      </c>
      <c r="C187" t="s">
        <v>845</v>
      </c>
      <c r="D187" t="s">
        <v>838</v>
      </c>
      <c r="F187" s="34">
        <v>2</v>
      </c>
      <c r="G187" s="57">
        <f t="shared" si="84"/>
        <v>0</v>
      </c>
      <c r="H187" s="60">
        <f t="shared" si="85"/>
        <v>17330</v>
      </c>
      <c r="I187" s="64"/>
      <c r="J187" s="140">
        <v>2</v>
      </c>
      <c r="K187" t="s">
        <v>199</v>
      </c>
      <c r="L187" s="24">
        <v>1</v>
      </c>
      <c r="M187" s="38"/>
      <c r="N187" s="56">
        <f>INDEX(Inventory!E:E,MATCH(K187, Inventory!A:A),1)</f>
        <v>19168</v>
      </c>
      <c r="O187" s="65">
        <f t="shared" si="86"/>
        <v>0</v>
      </c>
      <c r="P187" s="41">
        <f t="shared" si="87"/>
        <v>0</v>
      </c>
      <c r="Q187" s="41" cm="1">
        <f t="array" ref="Q187">MAX(IF($A:$A=$A187, $P:$P))</f>
        <v>0</v>
      </c>
      <c r="R187" s="113" t="s">
        <v>192</v>
      </c>
      <c r="S187" s="116">
        <v>1</v>
      </c>
      <c r="T187" s="118"/>
      <c r="U187" s="56">
        <f>IF(S187 &gt; 0,INDEX(Inventory!E:E,MATCH(R187, Inventory!A:A),1), "")</f>
        <v>8665</v>
      </c>
      <c r="V187" s="66">
        <f t="shared" si="88"/>
        <v>0</v>
      </c>
      <c r="W187" s="119">
        <f t="shared" si="89"/>
        <v>0</v>
      </c>
      <c r="X187" s="62"/>
      <c r="Z187" s="61"/>
      <c r="AA187" s="56" t="str">
        <f>IF(Y187&gt;0, INDEX(Inventory!E:E,MATCH(X187, Inventory!A:A),1), "")</f>
        <v/>
      </c>
      <c r="AB187" s="67">
        <f t="shared" si="90"/>
        <v>0</v>
      </c>
      <c r="AC187" s="41">
        <f t="shared" si="91"/>
        <v>0</v>
      </c>
      <c r="AD187" s="115">
        <f t="shared" si="92"/>
        <v>0</v>
      </c>
      <c r="AE187" s="68">
        <f t="shared" si="93"/>
        <v>0</v>
      </c>
      <c r="AF187" s="68">
        <f t="shared" si="94"/>
        <v>0</v>
      </c>
      <c r="AG187" s="63">
        <f t="shared" si="95"/>
        <v>0</v>
      </c>
      <c r="AH187" s="63">
        <f t="shared" si="96"/>
        <v>17330</v>
      </c>
      <c r="AI187" s="63">
        <f t="shared" si="97"/>
        <v>0</v>
      </c>
    </row>
    <row r="188" spans="1:35" x14ac:dyDescent="0.25">
      <c r="A188" s="113" t="s">
        <v>788</v>
      </c>
      <c r="D188" t="s">
        <v>833</v>
      </c>
      <c r="F188" s="34">
        <v>1</v>
      </c>
      <c r="G188" s="57">
        <f t="shared" si="84"/>
        <v>0</v>
      </c>
      <c r="H188" s="60">
        <f t="shared" si="85"/>
        <v>0</v>
      </c>
      <c r="I188" s="64"/>
      <c r="J188" s="140">
        <v>3</v>
      </c>
      <c r="K188" t="s">
        <v>780</v>
      </c>
      <c r="L188" s="24">
        <v>1</v>
      </c>
      <c r="M188" s="38"/>
      <c r="N188" s="56">
        <f>INDEX(Inventory!E:E,MATCH(K188, Inventory!A:A),1)</f>
        <v>3</v>
      </c>
      <c r="O188" s="65">
        <f t="shared" si="86"/>
        <v>0</v>
      </c>
      <c r="P188" s="41">
        <f t="shared" si="87"/>
        <v>0</v>
      </c>
      <c r="Q188" s="41" cm="1">
        <f t="array" ref="Q188">MAX(IF($A:$A=$A188, $P:$P))</f>
        <v>0</v>
      </c>
      <c r="R188" s="113" t="s">
        <v>731</v>
      </c>
      <c r="S188" s="116">
        <v>1</v>
      </c>
      <c r="T188" s="118"/>
      <c r="U188" s="56">
        <f>IF(S188 &gt; 0,INDEX(Inventory!E:E,MATCH(R188, Inventory!A:A),1), "")</f>
        <v>0</v>
      </c>
      <c r="V188" s="66">
        <f t="shared" si="88"/>
        <v>0</v>
      </c>
      <c r="W188" s="119">
        <f t="shared" si="89"/>
        <v>0</v>
      </c>
      <c r="X188" s="62" t="s">
        <v>760</v>
      </c>
      <c r="Y188" s="24">
        <v>1</v>
      </c>
      <c r="Z188" s="61"/>
      <c r="AA188" s="56">
        <f>IF(Y188&gt;0, INDEX(Inventory!E:E,MATCH(X188, Inventory!A:A),1), "")</f>
        <v>59</v>
      </c>
      <c r="AB188" s="67">
        <f t="shared" si="90"/>
        <v>0</v>
      </c>
      <c r="AC188" s="41">
        <f t="shared" si="91"/>
        <v>0</v>
      </c>
      <c r="AD188" s="115">
        <f t="shared" si="92"/>
        <v>0</v>
      </c>
      <c r="AE188" s="68">
        <f t="shared" si="93"/>
        <v>0</v>
      </c>
      <c r="AF188" s="68">
        <f t="shared" si="94"/>
        <v>0</v>
      </c>
      <c r="AG188" s="63">
        <f t="shared" si="95"/>
        <v>0</v>
      </c>
      <c r="AH188" s="63">
        <f t="shared" si="96"/>
        <v>0</v>
      </c>
      <c r="AI188" s="63">
        <f t="shared" si="97"/>
        <v>0</v>
      </c>
    </row>
    <row r="189" spans="1:35" x14ac:dyDescent="0.25">
      <c r="A189" s="113" t="s">
        <v>906</v>
      </c>
      <c r="B189" s="113" t="s">
        <v>907</v>
      </c>
      <c r="C189" t="s">
        <v>836</v>
      </c>
      <c r="D189" t="s">
        <v>833</v>
      </c>
      <c r="F189" s="34">
        <v>1</v>
      </c>
      <c r="G189" s="47">
        <f t="shared" si="84"/>
        <v>0</v>
      </c>
      <c r="H189" s="36">
        <f t="shared" si="85"/>
        <v>77</v>
      </c>
      <c r="I189" s="37"/>
      <c r="J189" s="140">
        <v>3</v>
      </c>
      <c r="K189" t="s">
        <v>196</v>
      </c>
      <c r="L189" s="24">
        <v>50</v>
      </c>
      <c r="M189" s="45"/>
      <c r="N189" s="39">
        <f>INDEX(Inventory!E:E,MATCH(K189, Inventory!A:A),1)</f>
        <v>616165</v>
      </c>
      <c r="O189" s="40">
        <f t="shared" si="86"/>
        <v>0</v>
      </c>
      <c r="P189" s="41">
        <f t="shared" si="87"/>
        <v>0</v>
      </c>
      <c r="Q189" s="41" cm="1">
        <f t="array" ref="Q189">MAX(IF($A:$A=$A189, $P:$P))</f>
        <v>0</v>
      </c>
      <c r="R189" s="113" t="s">
        <v>752</v>
      </c>
      <c r="S189" s="116">
        <v>45</v>
      </c>
      <c r="T189" s="118"/>
      <c r="U189" s="39">
        <f>IF(S189 &gt; 0,INDEX(Inventory!E:E,MATCH(R189, Inventory!A:A),1), "")</f>
        <v>4286</v>
      </c>
      <c r="V189" s="66">
        <f t="shared" si="88"/>
        <v>0</v>
      </c>
      <c r="W189" s="119">
        <f t="shared" si="89"/>
        <v>0</v>
      </c>
      <c r="X189" s="62" t="s">
        <v>191</v>
      </c>
      <c r="Y189" s="24">
        <v>40</v>
      </c>
      <c r="Z189" s="61"/>
      <c r="AA189" s="39">
        <f>IF(Y189&gt;0, INDEX(Inventory!E:E,MATCH(X189, Inventory!A:A),1), "")</f>
        <v>3084</v>
      </c>
      <c r="AB189" s="42">
        <f t="shared" si="90"/>
        <v>0</v>
      </c>
      <c r="AC189" s="41">
        <f t="shared" si="91"/>
        <v>0</v>
      </c>
      <c r="AD189" s="114">
        <f t="shared" si="92"/>
        <v>0</v>
      </c>
      <c r="AE189" s="7">
        <f t="shared" si="93"/>
        <v>0</v>
      </c>
      <c r="AF189" s="7">
        <f t="shared" si="94"/>
        <v>0</v>
      </c>
      <c r="AG189" s="43">
        <f t="shared" si="95"/>
        <v>0</v>
      </c>
      <c r="AH189" s="43">
        <f t="shared" si="96"/>
        <v>0</v>
      </c>
      <c r="AI189" s="43">
        <f t="shared" si="97"/>
        <v>77.099999999999994</v>
      </c>
    </row>
    <row r="190" spans="1:35" x14ac:dyDescent="0.25">
      <c r="A190" s="113" t="s">
        <v>908</v>
      </c>
      <c r="B190" s="113" t="s">
        <v>909</v>
      </c>
      <c r="C190" t="s">
        <v>836</v>
      </c>
      <c r="D190" t="s">
        <v>833</v>
      </c>
      <c r="F190" s="34">
        <v>1</v>
      </c>
      <c r="G190" s="47">
        <f t="shared" si="84"/>
        <v>0</v>
      </c>
      <c r="H190" s="36">
        <f t="shared" si="85"/>
        <v>585</v>
      </c>
      <c r="I190" s="37"/>
      <c r="J190" s="140">
        <v>2</v>
      </c>
      <c r="K190" t="s">
        <v>196</v>
      </c>
      <c r="L190" s="24">
        <v>50</v>
      </c>
      <c r="M190" s="45"/>
      <c r="N190" s="39">
        <f>INDEX(Inventory!E:E,MATCH(K190, Inventory!A:A),1)</f>
        <v>616165</v>
      </c>
      <c r="O190" s="40">
        <f t="shared" si="86"/>
        <v>0</v>
      </c>
      <c r="P190" s="41">
        <f t="shared" si="87"/>
        <v>0</v>
      </c>
      <c r="Q190" s="41" cm="1">
        <f t="array" ref="Q190">MAX(IF($A:$A=$A190, $P:$P))</f>
        <v>0</v>
      </c>
      <c r="R190" s="113" t="s">
        <v>197</v>
      </c>
      <c r="S190" s="116">
        <v>20</v>
      </c>
      <c r="T190" s="118"/>
      <c r="U190" s="39">
        <f>IF(S190 &gt; 0,INDEX(Inventory!E:E,MATCH(R190, Inventory!A:A),1), "")</f>
        <v>11717</v>
      </c>
      <c r="V190" s="66">
        <f t="shared" si="88"/>
        <v>0</v>
      </c>
      <c r="W190" s="119">
        <f t="shared" si="89"/>
        <v>0</v>
      </c>
      <c r="X190" s="62"/>
      <c r="Z190" s="61"/>
      <c r="AA190" s="39" t="str">
        <f>IF(Y190&gt;0, INDEX(Inventory!E:E,MATCH(X190, Inventory!A:A),1), "")</f>
        <v/>
      </c>
      <c r="AB190" s="42">
        <f t="shared" si="90"/>
        <v>0</v>
      </c>
      <c r="AC190" s="41">
        <f t="shared" si="91"/>
        <v>0</v>
      </c>
      <c r="AD190" s="114">
        <f t="shared" si="92"/>
        <v>0</v>
      </c>
      <c r="AE190" s="7">
        <f t="shared" si="93"/>
        <v>0</v>
      </c>
      <c r="AF190" s="7">
        <f t="shared" si="94"/>
        <v>0</v>
      </c>
      <c r="AG190" s="43">
        <f t="shared" si="95"/>
        <v>0</v>
      </c>
      <c r="AH190" s="43">
        <f t="shared" si="96"/>
        <v>585.85</v>
      </c>
      <c r="AI190" s="43">
        <f t="shared" si="97"/>
        <v>0</v>
      </c>
    </row>
    <row r="191" spans="1:35" x14ac:dyDescent="0.25">
      <c r="A191" s="113" t="s">
        <v>789</v>
      </c>
      <c r="C191" t="s">
        <v>888</v>
      </c>
      <c r="D191" t="s">
        <v>838</v>
      </c>
      <c r="E191" t="s">
        <v>192</v>
      </c>
      <c r="F191" s="34">
        <v>1</v>
      </c>
      <c r="G191" s="50">
        <f t="shared" si="84"/>
        <v>0</v>
      </c>
      <c r="H191" s="36">
        <f t="shared" si="85"/>
        <v>1819</v>
      </c>
      <c r="I191" s="37"/>
      <c r="J191" s="140">
        <v>2</v>
      </c>
      <c r="K191" t="s">
        <v>323</v>
      </c>
      <c r="L191" s="24">
        <v>1</v>
      </c>
      <c r="M191" s="45"/>
      <c r="N191" s="69">
        <f>INDEX(Inventory!E:E,MATCH(K191, Inventory!A:A),1)</f>
        <v>1819</v>
      </c>
      <c r="O191" s="48">
        <f t="shared" si="86"/>
        <v>0</v>
      </c>
      <c r="P191" s="41">
        <f t="shared" si="87"/>
        <v>0</v>
      </c>
      <c r="Q191" s="41" cm="1">
        <f t="array" ref="Q191">MAX(IF($A:$A=$A191, $P:$P))</f>
        <v>0</v>
      </c>
      <c r="R191" s="113" t="s">
        <v>726</v>
      </c>
      <c r="S191" s="116">
        <v>1</v>
      </c>
      <c r="T191" s="118"/>
      <c r="U191" s="69">
        <f>IF(S191 &gt; 0,INDEX(Inventory!E:E,MATCH(R191, Inventory!A:A),1), "")</f>
        <v>18593</v>
      </c>
      <c r="V191" s="70">
        <f t="shared" si="88"/>
        <v>0</v>
      </c>
      <c r="W191" s="119">
        <f t="shared" si="89"/>
        <v>0</v>
      </c>
      <c r="X191" s="62"/>
      <c r="Z191" s="61"/>
      <c r="AA191" s="69" t="str">
        <f>IF(Y191&gt;0, INDEX(Inventory!E:E,MATCH(X191, Inventory!A:A),1), "")</f>
        <v/>
      </c>
      <c r="AB191" s="49">
        <f t="shared" si="90"/>
        <v>0</v>
      </c>
      <c r="AC191" s="41">
        <f t="shared" si="91"/>
        <v>0</v>
      </c>
      <c r="AD191" s="114">
        <f t="shared" si="92"/>
        <v>0</v>
      </c>
      <c r="AE191" s="7">
        <f t="shared" si="93"/>
        <v>0</v>
      </c>
      <c r="AF191" s="7">
        <f t="shared" si="94"/>
        <v>0</v>
      </c>
      <c r="AG191" s="43">
        <f t="shared" si="95"/>
        <v>0</v>
      </c>
      <c r="AH191" s="43">
        <f t="shared" si="96"/>
        <v>1819</v>
      </c>
      <c r="AI191" s="43">
        <f t="shared" si="97"/>
        <v>0</v>
      </c>
    </row>
    <row r="192" spans="1:35" x14ac:dyDescent="0.25">
      <c r="A192" s="113" t="s">
        <v>789</v>
      </c>
      <c r="C192" t="s">
        <v>888</v>
      </c>
      <c r="D192" t="s">
        <v>838</v>
      </c>
      <c r="E192" t="s">
        <v>192</v>
      </c>
      <c r="F192" s="34">
        <v>1</v>
      </c>
      <c r="G192" s="59">
        <f t="shared" si="84"/>
        <v>0</v>
      </c>
      <c r="H192" s="60">
        <f t="shared" si="85"/>
        <v>1819</v>
      </c>
      <c r="I192" s="64"/>
      <c r="J192" s="140">
        <v>2</v>
      </c>
      <c r="K192" t="s">
        <v>323</v>
      </c>
      <c r="L192" s="24">
        <v>1</v>
      </c>
      <c r="M192" s="45"/>
      <c r="N192" s="58">
        <f>INDEX(Inventory!E:E,MATCH(K192, Inventory!A:A),1)</f>
        <v>1819</v>
      </c>
      <c r="O192" s="71">
        <f t="shared" si="86"/>
        <v>0</v>
      </c>
      <c r="P192" s="41">
        <f t="shared" si="87"/>
        <v>0</v>
      </c>
      <c r="Q192" s="41" cm="1">
        <f t="array" ref="Q192">MAX(IF($A:$A=$A192, $P:$P))</f>
        <v>0</v>
      </c>
      <c r="R192" s="113" t="s">
        <v>209</v>
      </c>
      <c r="S192" s="116">
        <v>1</v>
      </c>
      <c r="T192" s="118"/>
      <c r="U192" s="58">
        <f>IF(S192 &gt; 0,INDEX(Inventory!E:E,MATCH(R192, Inventory!A:A),1), "")</f>
        <v>9872</v>
      </c>
      <c r="V192" s="70">
        <f t="shared" si="88"/>
        <v>0</v>
      </c>
      <c r="W192" s="119">
        <f t="shared" si="89"/>
        <v>0</v>
      </c>
      <c r="X192" s="62"/>
      <c r="Z192" s="61"/>
      <c r="AA192" s="58" t="str">
        <f>IF(Y192&gt;0, INDEX(Inventory!E:E,MATCH(X192, Inventory!A:A),1), "")</f>
        <v/>
      </c>
      <c r="AB192" s="72">
        <f t="shared" si="90"/>
        <v>0</v>
      </c>
      <c r="AC192" s="41">
        <f t="shared" si="91"/>
        <v>0</v>
      </c>
      <c r="AD192" s="115">
        <f t="shared" si="92"/>
        <v>0</v>
      </c>
      <c r="AE192" s="68">
        <f t="shared" si="93"/>
        <v>0</v>
      </c>
      <c r="AF192" s="68">
        <f t="shared" si="94"/>
        <v>0</v>
      </c>
      <c r="AG192" s="63">
        <f t="shared" si="95"/>
        <v>0</v>
      </c>
      <c r="AH192" s="63">
        <f t="shared" si="96"/>
        <v>1819</v>
      </c>
      <c r="AI192" s="63">
        <f t="shared" si="97"/>
        <v>0</v>
      </c>
    </row>
    <row r="193" spans="1:35" x14ac:dyDescent="0.25">
      <c r="A193" s="113" t="s">
        <v>789</v>
      </c>
      <c r="C193" t="s">
        <v>888</v>
      </c>
      <c r="D193" t="s">
        <v>838</v>
      </c>
      <c r="E193" t="s">
        <v>192</v>
      </c>
      <c r="F193" s="34">
        <v>1</v>
      </c>
      <c r="G193" s="50">
        <f t="shared" si="84"/>
        <v>0</v>
      </c>
      <c r="H193" s="36">
        <f t="shared" si="85"/>
        <v>606</v>
      </c>
      <c r="I193" s="37"/>
      <c r="J193" s="140">
        <v>1</v>
      </c>
      <c r="K193" t="s">
        <v>323</v>
      </c>
      <c r="L193" s="24">
        <v>3</v>
      </c>
      <c r="M193" s="45"/>
      <c r="N193" s="69">
        <f>INDEX(Inventory!E:E,MATCH(K193, Inventory!A:A),1)</f>
        <v>1819</v>
      </c>
      <c r="O193" s="48">
        <f t="shared" si="86"/>
        <v>0</v>
      </c>
      <c r="P193" s="41">
        <f t="shared" si="87"/>
        <v>0</v>
      </c>
      <c r="Q193" s="41" cm="1">
        <f t="array" ref="Q193">MAX(IF($A:$A=$A193, $P:$P))</f>
        <v>0</v>
      </c>
      <c r="R193" s="113"/>
      <c r="S193" s="116"/>
      <c r="T193" s="118"/>
      <c r="U193" s="69" t="str">
        <f>IF(S193 &gt; 0,INDEX(Inventory!E:E,MATCH(R193, Inventory!A:A),1), "")</f>
        <v/>
      </c>
      <c r="V193" s="70">
        <f t="shared" si="88"/>
        <v>0</v>
      </c>
      <c r="W193" s="119">
        <f t="shared" si="89"/>
        <v>0</v>
      </c>
      <c r="X193" s="62"/>
      <c r="Z193" s="61"/>
      <c r="AA193" s="69" t="str">
        <f>IF(Y193&gt;0, INDEX(Inventory!E:E,MATCH(X193, Inventory!A:A),1), "")</f>
        <v/>
      </c>
      <c r="AB193" s="49">
        <f t="shared" si="90"/>
        <v>0</v>
      </c>
      <c r="AC193" s="41">
        <f t="shared" si="91"/>
        <v>0</v>
      </c>
      <c r="AD193" s="114">
        <f t="shared" si="92"/>
        <v>0</v>
      </c>
      <c r="AE193" s="7">
        <f t="shared" si="93"/>
        <v>0</v>
      </c>
      <c r="AF193" s="7">
        <f t="shared" si="94"/>
        <v>0</v>
      </c>
      <c r="AG193" s="43">
        <f t="shared" si="95"/>
        <v>606.33333333333337</v>
      </c>
      <c r="AH193" s="43">
        <f t="shared" si="96"/>
        <v>0</v>
      </c>
      <c r="AI193" s="43">
        <f t="shared" si="97"/>
        <v>0</v>
      </c>
    </row>
    <row r="194" spans="1:35" x14ac:dyDescent="0.25">
      <c r="A194" s="113" t="s">
        <v>790</v>
      </c>
      <c r="D194" t="s">
        <v>833</v>
      </c>
      <c r="E194" t="s">
        <v>780</v>
      </c>
      <c r="F194" s="34">
        <v>1</v>
      </c>
      <c r="G194" s="47">
        <f t="shared" si="84"/>
        <v>0</v>
      </c>
      <c r="H194" s="36">
        <f t="shared" si="85"/>
        <v>54</v>
      </c>
      <c r="I194" s="37"/>
      <c r="J194" s="140">
        <v>2</v>
      </c>
      <c r="K194" t="s">
        <v>739</v>
      </c>
      <c r="L194" s="24">
        <v>1</v>
      </c>
      <c r="M194" s="38"/>
      <c r="N194" s="39">
        <f>INDEX(Inventory!E:E,MATCH(K194, Inventory!A:A),1)</f>
        <v>94</v>
      </c>
      <c r="O194" s="40">
        <f t="shared" si="86"/>
        <v>0</v>
      </c>
      <c r="P194" s="41">
        <f t="shared" si="87"/>
        <v>0</v>
      </c>
      <c r="Q194" s="41" cm="1">
        <f t="array" ref="Q194">MAX(IF($A:$A=$A194, $P:$P))</f>
        <v>0</v>
      </c>
      <c r="R194" s="113" t="s">
        <v>782</v>
      </c>
      <c r="S194" s="116">
        <v>1</v>
      </c>
      <c r="T194" s="118"/>
      <c r="U194" s="39">
        <f>IF(S194 &gt; 0,INDEX(Inventory!E:E,MATCH(R194, Inventory!A:A),1), "")</f>
        <v>54</v>
      </c>
      <c r="V194" s="66">
        <f t="shared" si="88"/>
        <v>0</v>
      </c>
      <c r="W194" s="119">
        <f t="shared" si="89"/>
        <v>0</v>
      </c>
      <c r="X194" s="62"/>
      <c r="Z194" s="61"/>
      <c r="AA194" s="39" t="str">
        <f>IF(Y194&gt;0, INDEX(Inventory!E:E,MATCH(X194, Inventory!A:A),1), "")</f>
        <v/>
      </c>
      <c r="AB194" s="42">
        <f t="shared" si="90"/>
        <v>0</v>
      </c>
      <c r="AC194" s="41">
        <f t="shared" si="91"/>
        <v>0</v>
      </c>
      <c r="AD194" s="114">
        <f t="shared" si="92"/>
        <v>0</v>
      </c>
      <c r="AE194" s="7">
        <f t="shared" si="93"/>
        <v>0</v>
      </c>
      <c r="AF194" s="7">
        <f t="shared" si="94"/>
        <v>0</v>
      </c>
      <c r="AG194" s="43">
        <f t="shared" si="95"/>
        <v>0</v>
      </c>
      <c r="AH194" s="43">
        <f t="shared" si="96"/>
        <v>54</v>
      </c>
      <c r="AI194" s="43">
        <f t="shared" si="97"/>
        <v>0</v>
      </c>
    </row>
    <row r="195" spans="1:35" x14ac:dyDescent="0.25">
      <c r="A195" s="113" t="s">
        <v>910</v>
      </c>
      <c r="B195" s="113" t="s">
        <v>911</v>
      </c>
      <c r="C195" t="s">
        <v>836</v>
      </c>
      <c r="D195" t="s">
        <v>833</v>
      </c>
      <c r="F195" s="34">
        <v>1</v>
      </c>
      <c r="G195" s="47">
        <f t="shared" si="84"/>
        <v>0</v>
      </c>
      <c r="H195" s="36">
        <f t="shared" si="85"/>
        <v>929</v>
      </c>
      <c r="I195" s="37"/>
      <c r="J195" s="140">
        <v>2</v>
      </c>
      <c r="K195" t="s">
        <v>196</v>
      </c>
      <c r="L195" s="24">
        <v>60</v>
      </c>
      <c r="M195" s="45"/>
      <c r="N195" s="39">
        <f>INDEX(Inventory!E:E,MATCH(K195, Inventory!A:A),1)</f>
        <v>616165</v>
      </c>
      <c r="O195" s="40">
        <f t="shared" si="86"/>
        <v>0</v>
      </c>
      <c r="P195" s="41">
        <f t="shared" si="87"/>
        <v>0</v>
      </c>
      <c r="Q195" s="41" cm="1">
        <f t="array" ref="Q195">MAX(IF($A:$A=$A195, $P:$P))</f>
        <v>0</v>
      </c>
      <c r="R195" s="113" t="s">
        <v>726</v>
      </c>
      <c r="S195" s="116">
        <v>20</v>
      </c>
      <c r="T195" s="118"/>
      <c r="U195" s="39">
        <f>IF(S195 &gt; 0,INDEX(Inventory!E:E,MATCH(R195, Inventory!A:A),1), "")</f>
        <v>18593</v>
      </c>
      <c r="V195" s="66">
        <f t="shared" si="88"/>
        <v>0</v>
      </c>
      <c r="W195" s="119">
        <f t="shared" si="89"/>
        <v>0</v>
      </c>
      <c r="X195" s="62"/>
      <c r="Z195" s="61"/>
      <c r="AA195" s="39" t="str">
        <f>IF(Y195&gt;0, INDEX(Inventory!E:E,MATCH(X195, Inventory!A:A),1), "")</f>
        <v/>
      </c>
      <c r="AB195" s="42">
        <f t="shared" si="90"/>
        <v>0</v>
      </c>
      <c r="AC195" s="41">
        <f t="shared" si="91"/>
        <v>0</v>
      </c>
      <c r="AD195" s="114">
        <f t="shared" si="92"/>
        <v>0</v>
      </c>
      <c r="AE195" s="7">
        <f t="shared" si="93"/>
        <v>0</v>
      </c>
      <c r="AF195" s="7">
        <f t="shared" si="94"/>
        <v>0</v>
      </c>
      <c r="AG195" s="43">
        <f t="shared" si="95"/>
        <v>0</v>
      </c>
      <c r="AH195" s="43">
        <f t="shared" si="96"/>
        <v>929.65</v>
      </c>
      <c r="AI195" s="43">
        <f t="shared" si="97"/>
        <v>0</v>
      </c>
    </row>
    <row r="196" spans="1:35" x14ac:dyDescent="0.25">
      <c r="A196" s="113" t="s">
        <v>912</v>
      </c>
      <c r="B196" s="113" t="s">
        <v>913</v>
      </c>
      <c r="C196" t="s">
        <v>836</v>
      </c>
      <c r="D196" t="s">
        <v>833</v>
      </c>
      <c r="F196" s="34">
        <v>1</v>
      </c>
      <c r="G196" s="47">
        <f t="shared" si="84"/>
        <v>0</v>
      </c>
      <c r="H196" s="36">
        <f t="shared" si="85"/>
        <v>3</v>
      </c>
      <c r="I196" s="37"/>
      <c r="J196" s="140">
        <v>3</v>
      </c>
      <c r="K196" t="s">
        <v>196</v>
      </c>
      <c r="L196" s="24">
        <v>60</v>
      </c>
      <c r="M196" s="45"/>
      <c r="N196" s="39">
        <f>INDEX(Inventory!E:E,MATCH(K196, Inventory!A:A),1)</f>
        <v>616165</v>
      </c>
      <c r="O196" s="40">
        <f t="shared" si="86"/>
        <v>0</v>
      </c>
      <c r="P196" s="41">
        <f t="shared" ref="P196:P198" si="98">IF(ISBLANK(I196), 0, N196/O196)</f>
        <v>0</v>
      </c>
      <c r="Q196" s="41" cm="1">
        <f t="array" ref="Q196">MAX(IF($A:$A=$A196, $P:$P))</f>
        <v>0</v>
      </c>
      <c r="R196" s="113" t="s">
        <v>718</v>
      </c>
      <c r="S196" s="116">
        <v>3</v>
      </c>
      <c r="T196" s="118"/>
      <c r="U196" s="39">
        <f>IF(S196 &gt; 0,INDEX(Inventory!E:E,MATCH(R196, Inventory!A:A),1), "")</f>
        <v>22</v>
      </c>
      <c r="V196" s="66">
        <f t="shared" si="88"/>
        <v>0</v>
      </c>
      <c r="W196" s="119">
        <f t="shared" ref="W196:W198" si="99">IF(ISBLANK(I196),0,IF(ISBLANK(S196),0,U196/V196))</f>
        <v>0</v>
      </c>
      <c r="X196" s="62" t="s">
        <v>716</v>
      </c>
      <c r="Y196" s="24">
        <v>1</v>
      </c>
      <c r="Z196" s="61"/>
      <c r="AA196" s="39">
        <f>IF(Y196&gt;0, INDEX(Inventory!E:E,MATCH(X196, Inventory!A:A),1), "")</f>
        <v>3</v>
      </c>
      <c r="AB196" s="42">
        <f t="shared" si="90"/>
        <v>0</v>
      </c>
      <c r="AC196" s="41">
        <f t="shared" ref="AC196:AC198" si="100">IF(ISBLANK(I196), 0, IF(ISBLANK(Y196), 0, AA196/AB196))</f>
        <v>0</v>
      </c>
      <c r="AD196" s="114">
        <f t="shared" si="92"/>
        <v>0</v>
      </c>
      <c r="AE196" s="7">
        <f t="shared" si="93"/>
        <v>0</v>
      </c>
      <c r="AF196" s="7">
        <f t="shared" si="94"/>
        <v>0</v>
      </c>
      <c r="AG196" s="43">
        <f t="shared" si="95"/>
        <v>0</v>
      </c>
      <c r="AH196" s="43">
        <f t="shared" si="96"/>
        <v>0</v>
      </c>
      <c r="AI196" s="43">
        <f t="shared" si="97"/>
        <v>3</v>
      </c>
    </row>
    <row r="197" spans="1:35" x14ac:dyDescent="0.25">
      <c r="A197" s="113" t="s">
        <v>791</v>
      </c>
      <c r="D197" t="s">
        <v>833</v>
      </c>
      <c r="E197" t="s">
        <v>914</v>
      </c>
      <c r="F197" s="34">
        <v>1</v>
      </c>
      <c r="G197" s="47">
        <f t="shared" si="84"/>
        <v>0</v>
      </c>
      <c r="H197" s="36">
        <f t="shared" si="85"/>
        <v>3</v>
      </c>
      <c r="I197" s="37"/>
      <c r="J197" s="140">
        <v>2</v>
      </c>
      <c r="K197" t="s">
        <v>789</v>
      </c>
      <c r="L197" s="24">
        <v>250</v>
      </c>
      <c r="M197" s="38"/>
      <c r="N197" s="39">
        <f>INDEX(Inventory!E:E,MATCH(K197, Inventory!A:A),1)</f>
        <v>974</v>
      </c>
      <c r="O197" s="40">
        <f t="shared" si="86"/>
        <v>0</v>
      </c>
      <c r="P197" s="41">
        <f t="shared" si="98"/>
        <v>0</v>
      </c>
      <c r="Q197" s="41" cm="1">
        <f t="array" ref="Q197">MAX(IF($A:$A=$A197, $P:$P))</f>
        <v>0</v>
      </c>
      <c r="R197" s="113" t="s">
        <v>728</v>
      </c>
      <c r="S197" s="116">
        <v>50</v>
      </c>
      <c r="T197" s="118"/>
      <c r="U197" s="39">
        <f>IF(S197 &gt; 0,INDEX(Inventory!E:E,MATCH(R197, Inventory!A:A),1), "")</f>
        <v>4281</v>
      </c>
      <c r="V197" s="66">
        <f t="shared" si="88"/>
        <v>0</v>
      </c>
      <c r="W197" s="119">
        <f t="shared" si="99"/>
        <v>0</v>
      </c>
      <c r="X197" s="62"/>
      <c r="Z197" s="61"/>
      <c r="AA197" s="39" t="str">
        <f>IF(Y197&gt;0, INDEX(Inventory!E:E,MATCH(X197, Inventory!A:A),1), "")</f>
        <v/>
      </c>
      <c r="AB197" s="42">
        <f t="shared" si="90"/>
        <v>0</v>
      </c>
      <c r="AC197" s="41">
        <f t="shared" si="100"/>
        <v>0</v>
      </c>
      <c r="AD197" s="114">
        <f t="shared" si="92"/>
        <v>0</v>
      </c>
      <c r="AE197" s="7">
        <f t="shared" si="93"/>
        <v>0</v>
      </c>
      <c r="AF197" s="7">
        <f t="shared" si="94"/>
        <v>0</v>
      </c>
      <c r="AG197" s="43">
        <f t="shared" si="95"/>
        <v>0</v>
      </c>
      <c r="AH197" s="43">
        <f t="shared" si="96"/>
        <v>3.8959999999999999</v>
      </c>
      <c r="AI197" s="43">
        <f t="shared" si="97"/>
        <v>0</v>
      </c>
    </row>
    <row r="198" spans="1:35" x14ac:dyDescent="0.25">
      <c r="A198" s="113" t="s">
        <v>793</v>
      </c>
      <c r="D198" t="s">
        <v>833</v>
      </c>
      <c r="E198" t="s">
        <v>763</v>
      </c>
      <c r="F198" s="34">
        <v>1</v>
      </c>
      <c r="G198" s="47">
        <f t="shared" si="84"/>
        <v>0</v>
      </c>
      <c r="H198" s="36">
        <f t="shared" si="85"/>
        <v>18</v>
      </c>
      <c r="I198" s="37"/>
      <c r="J198" s="140">
        <v>1</v>
      </c>
      <c r="K198" t="s">
        <v>184</v>
      </c>
      <c r="L198" s="24">
        <v>200</v>
      </c>
      <c r="M198" s="38"/>
      <c r="N198" s="39">
        <f>INDEX(Inventory!E:E,MATCH(K198, Inventory!A:A),1)</f>
        <v>3790</v>
      </c>
      <c r="O198" s="40">
        <f t="shared" si="86"/>
        <v>0</v>
      </c>
      <c r="P198" s="41">
        <f t="shared" si="98"/>
        <v>0</v>
      </c>
      <c r="Q198" s="41" cm="1">
        <f t="array" ref="Q198">MAX(IF($A:$A=$A198, $P:$P))</f>
        <v>0</v>
      </c>
      <c r="R198" s="113"/>
      <c r="S198" s="116"/>
      <c r="T198" s="118"/>
      <c r="U198" s="39" t="str">
        <f>IF(S198 &gt; 0,INDEX(Inventory!E:E,MATCH(R198, Inventory!A:A),1), "")</f>
        <v/>
      </c>
      <c r="V198" s="66">
        <f t="shared" si="88"/>
        <v>0</v>
      </c>
      <c r="W198" s="119">
        <f t="shared" si="99"/>
        <v>0</v>
      </c>
      <c r="X198" s="62"/>
      <c r="Z198" s="61"/>
      <c r="AA198" s="39" t="str">
        <f>IF(Y198&gt;0, INDEX(Inventory!E:E,MATCH(X198, Inventory!A:A),1), "")</f>
        <v/>
      </c>
      <c r="AB198" s="42">
        <f t="shared" si="90"/>
        <v>0</v>
      </c>
      <c r="AC198" s="41">
        <f t="shared" si="100"/>
        <v>0</v>
      </c>
      <c r="AD198" s="114">
        <f t="shared" si="92"/>
        <v>0</v>
      </c>
      <c r="AE198" s="7">
        <f t="shared" si="93"/>
        <v>0</v>
      </c>
      <c r="AF198" s="7">
        <f t="shared" si="94"/>
        <v>0</v>
      </c>
      <c r="AG198" s="43">
        <f t="shared" si="95"/>
        <v>18.95</v>
      </c>
      <c r="AH198" s="43">
        <f t="shared" si="96"/>
        <v>0</v>
      </c>
      <c r="AI198" s="43">
        <f t="shared" si="97"/>
        <v>0</v>
      </c>
    </row>
    <row r="199" spans="1:35" x14ac:dyDescent="0.25">
      <c r="A199" s="113" t="s">
        <v>795</v>
      </c>
      <c r="C199" t="s">
        <v>915</v>
      </c>
      <c r="D199" t="s">
        <v>838</v>
      </c>
      <c r="E199" t="s">
        <v>194</v>
      </c>
      <c r="F199" s="34">
        <v>1</v>
      </c>
      <c r="G199" s="47">
        <f t="shared" ref="G199:G206" si="101">MAX(AD199:AF199)</f>
        <v>0</v>
      </c>
      <c r="H199" s="36">
        <f t="shared" ref="H199:H206" si="102">ROUNDDOWN(MAX(AG199:AI199),0)</f>
        <v>4291</v>
      </c>
      <c r="I199" s="37"/>
      <c r="J199" s="140">
        <v>2</v>
      </c>
      <c r="K199" t="s">
        <v>781</v>
      </c>
      <c r="L199" s="24">
        <v>1</v>
      </c>
      <c r="M199" s="45"/>
      <c r="N199" s="69">
        <f>INDEX(Inventory!E:E,MATCH(K199, Inventory!A:A),1)</f>
        <v>4291</v>
      </c>
      <c r="O199" s="48">
        <f t="shared" ref="O199:O206" si="103">I199/F199*L199</f>
        <v>0</v>
      </c>
      <c r="P199" s="41">
        <f t="shared" ref="P199:P206" si="104">IF(ISBLANK(I199), 0, N199/O199)</f>
        <v>0</v>
      </c>
      <c r="Q199" s="41" cm="1">
        <f t="array" ref="Q199">MAX(IF($A:$A=$A199, $P:$P))</f>
        <v>0</v>
      </c>
      <c r="R199" s="113" t="s">
        <v>735</v>
      </c>
      <c r="S199" s="116">
        <v>1</v>
      </c>
      <c r="T199" s="118"/>
      <c r="U199" s="69">
        <f>IF(S199 &gt; 0,INDEX(Inventory!E:E,MATCH(R199, Inventory!A:A),1), "")</f>
        <v>5543</v>
      </c>
      <c r="V199" s="70">
        <f t="shared" ref="V199:V206" si="105">I199/F199*S199</f>
        <v>0</v>
      </c>
      <c r="W199" s="119">
        <f t="shared" ref="W199:W206" si="106">IF(ISBLANK(I199),0,IF(ISBLANK(S199),0,U199/V199))</f>
        <v>0</v>
      </c>
      <c r="X199" s="62"/>
      <c r="Z199" s="61"/>
      <c r="AA199" s="69" t="str">
        <f>IF(Y199&gt;0, INDEX(Inventory!E:E,MATCH(X199, Inventory!A:A),1), "")</f>
        <v/>
      </c>
      <c r="AB199" s="49">
        <f t="shared" ref="AB199:AB206" si="107">I199/F199*Y199</f>
        <v>0</v>
      </c>
      <c r="AC199" s="41">
        <f t="shared" ref="AC199:AC206" si="108">IF(ISBLANK(I199), 0, IF(ISBLANK(Y199), 0, AA199/AB199))</f>
        <v>0</v>
      </c>
      <c r="AD199" s="114">
        <f t="shared" ref="AD199:AD206" si="109">IF(J199=1, M199/L199*F199, 0)</f>
        <v>0</v>
      </c>
      <c r="AE199" s="7">
        <f t="shared" ref="AE199:AE206" si="110">IF(J199=2, MIN(M199/L199, T199/S199)* F199,0)</f>
        <v>0</v>
      </c>
      <c r="AF199" s="7">
        <f t="shared" ref="AF199:AF206" si="111">IF(J199=3, MIN(M199/L199, T199/S199, Z199/Y199) * F199, 0)</f>
        <v>0</v>
      </c>
      <c r="AG199" s="43">
        <f t="shared" ref="AG199:AG206" si="112">IF(J199=1, N199/L199*F199, 0)</f>
        <v>0</v>
      </c>
      <c r="AH199" s="43">
        <f t="shared" ref="AH199:AH206" si="113">IF(J199=2,MIN(N199/L199, U199/S199)* F199,0)</f>
        <v>4291</v>
      </c>
      <c r="AI199" s="43">
        <f t="shared" ref="AI199:AI206" si="114">IF(J199=3, MIN(N199/L199, U199/S199, AA199/Y199) * F199, 0)</f>
        <v>0</v>
      </c>
    </row>
    <row r="200" spans="1:35" x14ac:dyDescent="0.25">
      <c r="A200" s="113" t="s">
        <v>795</v>
      </c>
      <c r="C200" t="s">
        <v>915</v>
      </c>
      <c r="D200" t="s">
        <v>838</v>
      </c>
      <c r="E200" t="s">
        <v>194</v>
      </c>
      <c r="F200" s="34">
        <v>1</v>
      </c>
      <c r="G200" s="47">
        <f t="shared" si="101"/>
        <v>0</v>
      </c>
      <c r="H200" s="36">
        <f t="shared" si="102"/>
        <v>2235</v>
      </c>
      <c r="I200" s="37"/>
      <c r="J200" s="140">
        <v>2</v>
      </c>
      <c r="K200" t="s">
        <v>193</v>
      </c>
      <c r="L200" s="24">
        <v>2</v>
      </c>
      <c r="M200" s="45"/>
      <c r="N200" s="69">
        <f>INDEX(Inventory!E:E,MATCH(K200, Inventory!A:A),1)</f>
        <v>4470</v>
      </c>
      <c r="O200" s="48">
        <f t="shared" si="103"/>
        <v>0</v>
      </c>
      <c r="P200" s="41">
        <f t="shared" si="104"/>
        <v>0</v>
      </c>
      <c r="Q200" s="41" cm="1">
        <f t="array" ref="Q200">MAX(IF($A:$A=$A200, $P:$P))</f>
        <v>0</v>
      </c>
      <c r="R200" s="113" t="s">
        <v>743</v>
      </c>
      <c r="S200" s="116">
        <v>1</v>
      </c>
      <c r="T200" s="118"/>
      <c r="U200" s="69">
        <f>IF(S200 &gt; 0,INDEX(Inventory!E:E,MATCH(R200, Inventory!A:A),1), "")</f>
        <v>7926</v>
      </c>
      <c r="V200" s="70">
        <f t="shared" si="105"/>
        <v>0</v>
      </c>
      <c r="W200" s="119">
        <f t="shared" si="106"/>
        <v>0</v>
      </c>
      <c r="X200" s="62"/>
      <c r="Z200" s="61"/>
      <c r="AA200" s="69" t="str">
        <f>IF(Y200&gt;0, INDEX(Inventory!E:E,MATCH(X200, Inventory!A:A),1), "")</f>
        <v/>
      </c>
      <c r="AB200" s="49">
        <f t="shared" si="107"/>
        <v>0</v>
      </c>
      <c r="AC200" s="41">
        <f t="shared" si="108"/>
        <v>0</v>
      </c>
      <c r="AD200" s="114">
        <f t="shared" si="109"/>
        <v>0</v>
      </c>
      <c r="AE200" s="7">
        <f t="shared" si="110"/>
        <v>0</v>
      </c>
      <c r="AF200" s="7">
        <f t="shared" si="111"/>
        <v>0</v>
      </c>
      <c r="AG200" s="43">
        <f t="shared" si="112"/>
        <v>0</v>
      </c>
      <c r="AH200" s="43">
        <f t="shared" si="113"/>
        <v>2235</v>
      </c>
      <c r="AI200" s="43">
        <f t="shared" si="114"/>
        <v>0</v>
      </c>
    </row>
    <row r="201" spans="1:35" x14ac:dyDescent="0.25">
      <c r="A201" s="113" t="s">
        <v>795</v>
      </c>
      <c r="C201" t="s">
        <v>915</v>
      </c>
      <c r="D201" t="s">
        <v>838</v>
      </c>
      <c r="E201" t="s">
        <v>194</v>
      </c>
      <c r="F201" s="34">
        <v>1</v>
      </c>
      <c r="G201" s="47">
        <f t="shared" si="101"/>
        <v>0</v>
      </c>
      <c r="H201" s="36">
        <f t="shared" si="102"/>
        <v>4291</v>
      </c>
      <c r="I201" s="37"/>
      <c r="J201" s="140">
        <v>2</v>
      </c>
      <c r="K201" t="s">
        <v>781</v>
      </c>
      <c r="L201" s="24">
        <v>1</v>
      </c>
      <c r="M201" s="45"/>
      <c r="N201" s="69">
        <f>INDEX(Inventory!E:E,MATCH(K201, Inventory!A:A),1)</f>
        <v>4291</v>
      </c>
      <c r="O201" s="48">
        <f t="shared" si="103"/>
        <v>0</v>
      </c>
      <c r="P201" s="41">
        <f t="shared" si="104"/>
        <v>0</v>
      </c>
      <c r="Q201" s="41" cm="1">
        <f t="array" ref="Q201">MAX(IF($A:$A=$A201, $P:$P))</f>
        <v>0</v>
      </c>
      <c r="R201" s="113" t="s">
        <v>743</v>
      </c>
      <c r="S201" s="116">
        <v>1</v>
      </c>
      <c r="T201" s="118"/>
      <c r="U201" s="69">
        <f>IF(S201 &gt; 0,INDEX(Inventory!E:E,MATCH(R201, Inventory!A:A),1), "")</f>
        <v>7926</v>
      </c>
      <c r="V201" s="70">
        <f t="shared" si="105"/>
        <v>0</v>
      </c>
      <c r="W201" s="119">
        <f t="shared" si="106"/>
        <v>0</v>
      </c>
      <c r="X201" s="62"/>
      <c r="Z201" s="61"/>
      <c r="AA201" s="69" t="str">
        <f>IF(Y201&gt;0, INDEX(Inventory!E:E,MATCH(X201, Inventory!A:A),1), "")</f>
        <v/>
      </c>
      <c r="AB201" s="49">
        <f t="shared" si="107"/>
        <v>0</v>
      </c>
      <c r="AC201" s="41">
        <f t="shared" si="108"/>
        <v>0</v>
      </c>
      <c r="AD201" s="114">
        <f t="shared" si="109"/>
        <v>0</v>
      </c>
      <c r="AE201" s="7">
        <f t="shared" si="110"/>
        <v>0</v>
      </c>
      <c r="AF201" s="7">
        <f t="shared" si="111"/>
        <v>0</v>
      </c>
      <c r="AG201" s="43">
        <f t="shared" si="112"/>
        <v>0</v>
      </c>
      <c r="AH201" s="43">
        <f t="shared" si="113"/>
        <v>4291</v>
      </c>
      <c r="AI201" s="43">
        <f t="shared" si="114"/>
        <v>0</v>
      </c>
    </row>
    <row r="202" spans="1:35" x14ac:dyDescent="0.25">
      <c r="A202" s="113" t="s">
        <v>795</v>
      </c>
      <c r="C202" t="s">
        <v>915</v>
      </c>
      <c r="D202" t="s">
        <v>838</v>
      </c>
      <c r="E202" t="s">
        <v>194</v>
      </c>
      <c r="F202" s="34">
        <v>3</v>
      </c>
      <c r="G202" s="47">
        <f t="shared" si="101"/>
        <v>0</v>
      </c>
      <c r="H202" s="36">
        <f t="shared" si="102"/>
        <v>9252</v>
      </c>
      <c r="I202" s="37"/>
      <c r="J202" s="140">
        <v>2</v>
      </c>
      <c r="K202" t="s">
        <v>781</v>
      </c>
      <c r="L202" s="24">
        <v>1</v>
      </c>
      <c r="M202" s="45"/>
      <c r="N202" s="69">
        <f>INDEX(Inventory!E:E,MATCH(K202, Inventory!A:A),1)</f>
        <v>4291</v>
      </c>
      <c r="O202" s="48">
        <f t="shared" si="103"/>
        <v>0</v>
      </c>
      <c r="P202" s="41">
        <f t="shared" si="104"/>
        <v>0</v>
      </c>
      <c r="Q202" s="41" cm="1">
        <f t="array" ref="Q202">MAX(IF($A:$A=$A202, $P:$P))</f>
        <v>0</v>
      </c>
      <c r="R202" s="113" t="s">
        <v>191</v>
      </c>
      <c r="S202" s="116">
        <v>1</v>
      </c>
      <c r="T202" s="118"/>
      <c r="U202" s="69">
        <f>IF(S202 &gt; 0,INDEX(Inventory!E:E,MATCH(R202, Inventory!A:A),1), "")</f>
        <v>3084</v>
      </c>
      <c r="V202" s="70">
        <f t="shared" si="105"/>
        <v>0</v>
      </c>
      <c r="W202" s="119">
        <f t="shared" si="106"/>
        <v>0</v>
      </c>
      <c r="X202" s="62"/>
      <c r="Z202" s="61"/>
      <c r="AA202" s="69" t="str">
        <f>IF(Y202&gt;0, INDEX(Inventory!E:E,MATCH(X202, Inventory!A:A),1), "")</f>
        <v/>
      </c>
      <c r="AB202" s="49">
        <f t="shared" si="107"/>
        <v>0</v>
      </c>
      <c r="AC202" s="41">
        <f t="shared" si="108"/>
        <v>0</v>
      </c>
      <c r="AD202" s="114">
        <f t="shared" si="109"/>
        <v>0</v>
      </c>
      <c r="AE202" s="7">
        <f t="shared" si="110"/>
        <v>0</v>
      </c>
      <c r="AF202" s="7">
        <f t="shared" si="111"/>
        <v>0</v>
      </c>
      <c r="AG202" s="43">
        <f t="shared" si="112"/>
        <v>0</v>
      </c>
      <c r="AH202" s="43">
        <f t="shared" si="113"/>
        <v>9252</v>
      </c>
      <c r="AI202" s="43">
        <f t="shared" si="114"/>
        <v>0</v>
      </c>
    </row>
    <row r="203" spans="1:35" x14ac:dyDescent="0.25">
      <c r="A203" s="113" t="s">
        <v>795</v>
      </c>
      <c r="C203" t="s">
        <v>915</v>
      </c>
      <c r="D203" t="s">
        <v>838</v>
      </c>
      <c r="E203" t="s">
        <v>194</v>
      </c>
      <c r="F203" s="34">
        <v>1</v>
      </c>
      <c r="G203" s="47">
        <f t="shared" si="101"/>
        <v>0</v>
      </c>
      <c r="H203" s="36">
        <f t="shared" si="102"/>
        <v>1356</v>
      </c>
      <c r="I203" s="37"/>
      <c r="J203" s="140">
        <v>2</v>
      </c>
      <c r="K203" t="s">
        <v>193</v>
      </c>
      <c r="L203" s="24">
        <v>2</v>
      </c>
      <c r="M203" s="45"/>
      <c r="N203" s="69">
        <f>INDEX(Inventory!E:E,MATCH(K203, Inventory!A:A),1)</f>
        <v>4470</v>
      </c>
      <c r="O203" s="48">
        <f t="shared" si="103"/>
        <v>0</v>
      </c>
      <c r="P203" s="41">
        <f t="shared" si="104"/>
        <v>0</v>
      </c>
      <c r="Q203" s="41" cm="1">
        <f t="array" ref="Q203">MAX(IF($A:$A=$A203, $P:$P))</f>
        <v>0</v>
      </c>
      <c r="R203" s="113" t="s">
        <v>778</v>
      </c>
      <c r="S203" s="116">
        <v>1</v>
      </c>
      <c r="T203" s="118"/>
      <c r="U203" s="69">
        <f>IF(S203 &gt; 0,INDEX(Inventory!E:E,MATCH(R203, Inventory!A:A),1), "")</f>
        <v>1356</v>
      </c>
      <c r="V203" s="70">
        <f t="shared" si="105"/>
        <v>0</v>
      </c>
      <c r="W203" s="119">
        <f t="shared" si="106"/>
        <v>0</v>
      </c>
      <c r="X203" s="62"/>
      <c r="Z203" s="61"/>
      <c r="AA203" s="69" t="str">
        <f>IF(Y203&gt;0, INDEX(Inventory!E:E,MATCH(X203, Inventory!A:A),1), "")</f>
        <v/>
      </c>
      <c r="AB203" s="49">
        <f t="shared" si="107"/>
        <v>0</v>
      </c>
      <c r="AC203" s="41">
        <f t="shared" si="108"/>
        <v>0</v>
      </c>
      <c r="AD203" s="114">
        <f t="shared" si="109"/>
        <v>0</v>
      </c>
      <c r="AE203" s="7">
        <f t="shared" si="110"/>
        <v>0</v>
      </c>
      <c r="AF203" s="7">
        <f t="shared" si="111"/>
        <v>0</v>
      </c>
      <c r="AG203" s="43">
        <f t="shared" si="112"/>
        <v>0</v>
      </c>
      <c r="AH203" s="43">
        <f t="shared" si="113"/>
        <v>1356</v>
      </c>
      <c r="AI203" s="43">
        <f t="shared" si="114"/>
        <v>0</v>
      </c>
    </row>
    <row r="204" spans="1:35" x14ac:dyDescent="0.25">
      <c r="A204" s="113" t="s">
        <v>795</v>
      </c>
      <c r="C204" t="s">
        <v>915</v>
      </c>
      <c r="D204" t="s">
        <v>838</v>
      </c>
      <c r="E204" t="s">
        <v>194</v>
      </c>
      <c r="F204" s="34">
        <v>2</v>
      </c>
      <c r="G204" s="47">
        <f t="shared" si="101"/>
        <v>0</v>
      </c>
      <c r="H204" s="36">
        <f t="shared" si="102"/>
        <v>2712</v>
      </c>
      <c r="I204" s="37"/>
      <c r="J204" s="140">
        <v>2</v>
      </c>
      <c r="K204" t="s">
        <v>781</v>
      </c>
      <c r="L204" s="24">
        <v>1</v>
      </c>
      <c r="M204" s="45"/>
      <c r="N204" s="69">
        <f>INDEX(Inventory!E:E,MATCH(K204, Inventory!A:A),1)</f>
        <v>4291</v>
      </c>
      <c r="O204" s="48">
        <f t="shared" si="103"/>
        <v>0</v>
      </c>
      <c r="P204" s="41">
        <f t="shared" si="104"/>
        <v>0</v>
      </c>
      <c r="Q204" s="41" cm="1">
        <f t="array" ref="Q204">MAX(IF($A:$A=$A204, $P:$P))</f>
        <v>0</v>
      </c>
      <c r="R204" s="113" t="s">
        <v>778</v>
      </c>
      <c r="S204" s="116">
        <v>1</v>
      </c>
      <c r="T204" s="118"/>
      <c r="U204" s="69">
        <f>IF(S204 &gt; 0,INDEX(Inventory!E:E,MATCH(R204, Inventory!A:A),1), "")</f>
        <v>1356</v>
      </c>
      <c r="V204" s="70">
        <f t="shared" si="105"/>
        <v>0</v>
      </c>
      <c r="W204" s="119">
        <f t="shared" si="106"/>
        <v>0</v>
      </c>
      <c r="X204" s="62"/>
      <c r="Z204" s="61"/>
      <c r="AA204" s="69" t="str">
        <f>IF(Y204&gt;0, INDEX(Inventory!E:E,MATCH(X204, Inventory!A:A),1), "")</f>
        <v/>
      </c>
      <c r="AB204" s="49">
        <f t="shared" si="107"/>
        <v>0</v>
      </c>
      <c r="AC204" s="41">
        <f t="shared" si="108"/>
        <v>0</v>
      </c>
      <c r="AD204" s="114">
        <f t="shared" si="109"/>
        <v>0</v>
      </c>
      <c r="AE204" s="7">
        <f t="shared" si="110"/>
        <v>0</v>
      </c>
      <c r="AF204" s="7">
        <f t="shared" si="111"/>
        <v>0</v>
      </c>
      <c r="AG204" s="43">
        <f t="shared" si="112"/>
        <v>0</v>
      </c>
      <c r="AH204" s="43">
        <f t="shared" si="113"/>
        <v>2712</v>
      </c>
      <c r="AI204" s="43">
        <f t="shared" si="114"/>
        <v>0</v>
      </c>
    </row>
    <row r="205" spans="1:35" x14ac:dyDescent="0.25">
      <c r="A205" s="113" t="s">
        <v>795</v>
      </c>
      <c r="C205" t="s">
        <v>915</v>
      </c>
      <c r="D205" t="s">
        <v>838</v>
      </c>
      <c r="E205" t="s">
        <v>194</v>
      </c>
      <c r="F205" s="34">
        <v>1</v>
      </c>
      <c r="G205" s="47">
        <f t="shared" si="101"/>
        <v>0</v>
      </c>
      <c r="H205" s="36">
        <f t="shared" si="102"/>
        <v>7749</v>
      </c>
      <c r="I205" s="37"/>
      <c r="J205" s="140">
        <v>2</v>
      </c>
      <c r="K205" t="s">
        <v>749</v>
      </c>
      <c r="L205" s="24">
        <v>2</v>
      </c>
      <c r="M205" s="45"/>
      <c r="N205" s="69">
        <f>INDEX(Inventory!E:E,MATCH(K205, Inventory!A:A),1)</f>
        <v>15499</v>
      </c>
      <c r="O205" s="48">
        <f t="shared" si="103"/>
        <v>0</v>
      </c>
      <c r="P205" s="41">
        <f t="shared" si="104"/>
        <v>0</v>
      </c>
      <c r="Q205" s="41" cm="1">
        <f t="array" ref="Q205">MAX(IF($A:$A=$A205, $P:$P))</f>
        <v>0</v>
      </c>
      <c r="R205" s="113" t="s">
        <v>195</v>
      </c>
      <c r="S205" s="116">
        <v>1</v>
      </c>
      <c r="T205" s="118"/>
      <c r="U205" s="69">
        <f>IF(S205 &gt; 0,INDEX(Inventory!E:E,MATCH(R205, Inventory!A:A),1), "")</f>
        <v>15125</v>
      </c>
      <c r="V205" s="70">
        <f t="shared" si="105"/>
        <v>0</v>
      </c>
      <c r="W205" s="119">
        <f t="shared" si="106"/>
        <v>0</v>
      </c>
      <c r="X205" s="62"/>
      <c r="Z205" s="61"/>
      <c r="AA205" s="69" t="str">
        <f>IF(Y205&gt;0, INDEX(Inventory!E:E,MATCH(X205, Inventory!A:A),1), "")</f>
        <v/>
      </c>
      <c r="AB205" s="49">
        <f t="shared" si="107"/>
        <v>0</v>
      </c>
      <c r="AC205" s="41">
        <f t="shared" si="108"/>
        <v>0</v>
      </c>
      <c r="AD205" s="114">
        <f t="shared" si="109"/>
        <v>0</v>
      </c>
      <c r="AE205" s="7">
        <f t="shared" si="110"/>
        <v>0</v>
      </c>
      <c r="AF205" s="7">
        <f t="shared" si="111"/>
        <v>0</v>
      </c>
      <c r="AG205" s="43">
        <f t="shared" si="112"/>
        <v>0</v>
      </c>
      <c r="AH205" s="43">
        <f t="shared" si="113"/>
        <v>7749.5</v>
      </c>
      <c r="AI205" s="43">
        <f t="shared" si="114"/>
        <v>0</v>
      </c>
    </row>
    <row r="206" spans="1:35" x14ac:dyDescent="0.25">
      <c r="A206" s="113" t="s">
        <v>916</v>
      </c>
      <c r="B206" s="113" t="s">
        <v>917</v>
      </c>
      <c r="C206" t="s">
        <v>836</v>
      </c>
      <c r="D206" t="s">
        <v>833</v>
      </c>
      <c r="F206" s="34">
        <v>1</v>
      </c>
      <c r="G206" s="47">
        <f t="shared" si="101"/>
        <v>0</v>
      </c>
      <c r="H206" s="36">
        <f t="shared" si="102"/>
        <v>193</v>
      </c>
      <c r="I206" s="37"/>
      <c r="J206" s="140">
        <v>3</v>
      </c>
      <c r="K206" t="s">
        <v>196</v>
      </c>
      <c r="L206" s="24">
        <v>50</v>
      </c>
      <c r="M206" s="45"/>
      <c r="N206" s="39">
        <f>INDEX(Inventory!E:E,MATCH(K206, Inventory!A:A),1)</f>
        <v>616165</v>
      </c>
      <c r="O206" s="40">
        <f t="shared" si="103"/>
        <v>0</v>
      </c>
      <c r="P206" s="41">
        <f t="shared" si="104"/>
        <v>0</v>
      </c>
      <c r="Q206" s="41" cm="1">
        <f t="array" ref="Q206">MAX(IF($A:$A=$A206, $P:$P))</f>
        <v>0</v>
      </c>
      <c r="R206" s="113" t="s">
        <v>777</v>
      </c>
      <c r="S206" s="116">
        <v>25</v>
      </c>
      <c r="T206" s="118"/>
      <c r="U206" s="39">
        <f>IF(S206 &gt; 0,INDEX(Inventory!E:E,MATCH(R206, Inventory!A:A),1), "")</f>
        <v>4839</v>
      </c>
      <c r="V206" s="66">
        <f t="shared" si="105"/>
        <v>0</v>
      </c>
      <c r="W206" s="119">
        <f t="shared" si="106"/>
        <v>0</v>
      </c>
      <c r="X206" s="62" t="s">
        <v>726</v>
      </c>
      <c r="Y206" s="24">
        <v>20</v>
      </c>
      <c r="Z206" s="61"/>
      <c r="AA206" s="39">
        <f>IF(Y206&gt;0, INDEX(Inventory!E:E,MATCH(X206, Inventory!A:A),1), "")</f>
        <v>18593</v>
      </c>
      <c r="AB206" s="42">
        <f t="shared" si="107"/>
        <v>0</v>
      </c>
      <c r="AC206" s="41">
        <f t="shared" si="108"/>
        <v>0</v>
      </c>
      <c r="AD206" s="114">
        <f t="shared" si="109"/>
        <v>0</v>
      </c>
      <c r="AE206" s="7">
        <f t="shared" si="110"/>
        <v>0</v>
      </c>
      <c r="AF206" s="7">
        <f t="shared" si="111"/>
        <v>0</v>
      </c>
      <c r="AG206" s="43">
        <f t="shared" si="112"/>
        <v>0</v>
      </c>
      <c r="AH206" s="43">
        <f t="shared" si="113"/>
        <v>0</v>
      </c>
      <c r="AI206" s="43">
        <f t="shared" si="114"/>
        <v>193.56</v>
      </c>
    </row>
  </sheetData>
  <sheetProtection sort="0" autoFilter="0"/>
  <conditionalFormatting sqref="H1:H1048576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{30F54E6E-A2F9-4FF3-AA73-255488BA4D25}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0F54E6E-A2F9-4FF3-AA73-255488BA4D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H1:H1048576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E8ED9-5E8C-47AE-B8C5-15489C5D32FD}">
  <sheetPr codeName="Sheet9"/>
  <dimension ref="A1:C13"/>
  <sheetViews>
    <sheetView workbookViewId="0"/>
  </sheetViews>
  <sheetFormatPr defaultRowHeight="15" x14ac:dyDescent="0.25"/>
  <cols>
    <col min="1" max="1" width="18.5703125" customWidth="1"/>
    <col min="2" max="2" width="7.85546875" style="24" bestFit="1" customWidth="1"/>
    <col min="3" max="3" width="10.140625" style="24" bestFit="1" customWidth="1"/>
  </cols>
  <sheetData>
    <row r="1" spans="1:3" x14ac:dyDescent="0.25">
      <c r="A1" s="22" t="s">
        <v>918</v>
      </c>
      <c r="B1" s="22" t="s">
        <v>919</v>
      </c>
      <c r="C1" s="22" t="s">
        <v>920</v>
      </c>
    </row>
    <row r="2" spans="1:3" x14ac:dyDescent="0.25">
      <c r="A2" t="s">
        <v>921</v>
      </c>
      <c r="B2" s="73"/>
      <c r="C2" s="73"/>
    </row>
    <row r="3" spans="1:3" x14ac:dyDescent="0.25">
      <c r="A3" t="s">
        <v>184</v>
      </c>
      <c r="B3" s="73">
        <v>1</v>
      </c>
      <c r="C3" s="73">
        <v>13</v>
      </c>
    </row>
    <row r="4" spans="1:3" x14ac:dyDescent="0.25">
      <c r="A4" t="s">
        <v>189</v>
      </c>
      <c r="B4" s="73">
        <v>1</v>
      </c>
      <c r="C4" s="73">
        <v>23</v>
      </c>
    </row>
    <row r="5" spans="1:3" x14ac:dyDescent="0.25">
      <c r="A5" t="s">
        <v>190</v>
      </c>
      <c r="B5" s="73">
        <v>1</v>
      </c>
      <c r="C5" s="73">
        <v>91</v>
      </c>
    </row>
    <row r="6" spans="1:3" x14ac:dyDescent="0.25">
      <c r="A6" t="s">
        <v>749</v>
      </c>
      <c r="B6" s="73">
        <v>1</v>
      </c>
      <c r="C6" s="73">
        <v>12</v>
      </c>
    </row>
    <row r="7" spans="1:3" x14ac:dyDescent="0.25">
      <c r="A7" t="s">
        <v>922</v>
      </c>
      <c r="B7" s="73"/>
      <c r="C7" s="73"/>
    </row>
    <row r="8" spans="1:3" x14ac:dyDescent="0.25">
      <c r="A8" t="s">
        <v>740</v>
      </c>
      <c r="B8" s="73">
        <v>1</v>
      </c>
      <c r="C8" s="73">
        <v>167</v>
      </c>
    </row>
    <row r="9" spans="1:3" x14ac:dyDescent="0.25">
      <c r="A9" t="s">
        <v>771</v>
      </c>
      <c r="B9" s="73">
        <v>1</v>
      </c>
      <c r="C9" s="73">
        <v>127</v>
      </c>
    </row>
    <row r="10" spans="1:3" x14ac:dyDescent="0.25">
      <c r="A10" t="s">
        <v>923</v>
      </c>
      <c r="B10" s="73"/>
      <c r="C10" s="73"/>
    </row>
    <row r="11" spans="1:3" x14ac:dyDescent="0.25">
      <c r="A11" t="s">
        <v>198</v>
      </c>
      <c r="B11" s="73">
        <v>1</v>
      </c>
      <c r="C11" s="73">
        <v>23</v>
      </c>
    </row>
    <row r="12" spans="1:3" x14ac:dyDescent="0.25">
      <c r="A12" t="s">
        <v>199</v>
      </c>
      <c r="B12" s="73">
        <v>1</v>
      </c>
      <c r="C12" s="73">
        <v>71</v>
      </c>
    </row>
    <row r="13" spans="1:3" x14ac:dyDescent="0.25">
      <c r="A13" t="s">
        <v>924</v>
      </c>
      <c r="B13" s="73"/>
      <c r="C13" s="73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5F734-1E0F-4637-9CFD-39D9CBEC7BDC}">
  <sheetPr codeName="Sheet10"/>
  <dimension ref="A1:P13"/>
  <sheetViews>
    <sheetView workbookViewId="0"/>
  </sheetViews>
  <sheetFormatPr defaultRowHeight="15" x14ac:dyDescent="0.25"/>
  <cols>
    <col min="1" max="1" width="17.85546875" bestFit="1" customWidth="1"/>
    <col min="2" max="2" width="14" bestFit="1" customWidth="1"/>
    <col min="3" max="3" width="15.5703125" bestFit="1" customWidth="1"/>
    <col min="6" max="6" width="13.42578125" customWidth="1"/>
    <col min="9" max="9" width="13.140625" customWidth="1"/>
    <col min="12" max="12" width="16.28515625" customWidth="1"/>
    <col min="13" max="13" width="13.7109375" customWidth="1"/>
    <col min="14" max="14" width="13.5703125" customWidth="1"/>
    <col min="15" max="15" width="15.140625" bestFit="1" customWidth="1"/>
    <col min="16" max="16" width="17.42578125" bestFit="1" customWidth="1"/>
  </cols>
  <sheetData>
    <row r="1" spans="1:16" x14ac:dyDescent="0.25">
      <c r="A1" s="22" t="s">
        <v>925</v>
      </c>
      <c r="B1" s="22" t="s">
        <v>926</v>
      </c>
      <c r="C1" s="22" t="s">
        <v>927</v>
      </c>
      <c r="D1" s="22" t="s">
        <v>928</v>
      </c>
      <c r="E1" s="74" t="s">
        <v>929</v>
      </c>
      <c r="F1" s="22" t="s">
        <v>930</v>
      </c>
      <c r="G1" s="22" t="s">
        <v>931</v>
      </c>
      <c r="H1" s="74" t="s">
        <v>932</v>
      </c>
      <c r="I1" s="22" t="s">
        <v>933</v>
      </c>
      <c r="J1" s="22" t="s">
        <v>934</v>
      </c>
      <c r="K1" s="74" t="s">
        <v>935</v>
      </c>
      <c r="L1" s="75" t="s">
        <v>936</v>
      </c>
      <c r="M1" s="22" t="s">
        <v>937</v>
      </c>
      <c r="N1" s="22" t="s">
        <v>938</v>
      </c>
      <c r="O1" s="22" t="s">
        <v>939</v>
      </c>
      <c r="P1" s="22" t="s">
        <v>940</v>
      </c>
    </row>
    <row r="2" spans="1:16" x14ac:dyDescent="0.25">
      <c r="A2" t="s">
        <v>941</v>
      </c>
      <c r="B2" t="s">
        <v>189</v>
      </c>
      <c r="C2" t="s">
        <v>189</v>
      </c>
      <c r="D2" s="24">
        <v>50</v>
      </c>
      <c r="E2" s="76">
        <v>13569</v>
      </c>
      <c r="F2" t="s">
        <v>188</v>
      </c>
      <c r="G2" s="24">
        <v>25</v>
      </c>
      <c r="H2" s="76">
        <v>1393</v>
      </c>
      <c r="J2" s="24"/>
      <c r="K2" s="76">
        <v>0</v>
      </c>
      <c r="L2" s="77">
        <v>1</v>
      </c>
      <c r="M2" s="24">
        <v>50</v>
      </c>
      <c r="N2" s="24">
        <v>23</v>
      </c>
      <c r="O2" s="24">
        <f t="shared" ref="O2:O13" si="0">M2*N2</f>
        <v>1150</v>
      </c>
      <c r="P2">
        <f t="shared" ref="P2:P13" si="1">24/L2*O2</f>
        <v>27600</v>
      </c>
    </row>
    <row r="3" spans="1:16" x14ac:dyDescent="0.25">
      <c r="A3" t="s">
        <v>942</v>
      </c>
      <c r="B3" t="s">
        <v>190</v>
      </c>
      <c r="C3" t="s">
        <v>190</v>
      </c>
      <c r="D3" s="24">
        <v>50</v>
      </c>
      <c r="E3" s="76">
        <v>30293</v>
      </c>
      <c r="F3" t="s">
        <v>182</v>
      </c>
      <c r="G3" s="24">
        <v>25</v>
      </c>
      <c r="H3" s="76">
        <v>1858</v>
      </c>
      <c r="J3" s="24"/>
      <c r="K3" s="76">
        <v>0</v>
      </c>
      <c r="L3" s="77">
        <v>4</v>
      </c>
      <c r="M3" s="24">
        <v>50</v>
      </c>
      <c r="N3" s="24">
        <v>91</v>
      </c>
      <c r="O3" s="24">
        <f t="shared" si="0"/>
        <v>4550</v>
      </c>
      <c r="P3">
        <f t="shared" si="1"/>
        <v>27300</v>
      </c>
    </row>
    <row r="4" spans="1:16" x14ac:dyDescent="0.25">
      <c r="A4" t="s">
        <v>943</v>
      </c>
      <c r="B4" t="s">
        <v>740</v>
      </c>
      <c r="C4" t="s">
        <v>740</v>
      </c>
      <c r="D4" s="24">
        <v>40</v>
      </c>
      <c r="E4" s="76">
        <v>44333</v>
      </c>
      <c r="G4" s="24"/>
      <c r="H4" s="76">
        <v>0</v>
      </c>
      <c r="J4" s="24"/>
      <c r="K4" s="76">
        <v>0</v>
      </c>
      <c r="L4" s="77">
        <v>4</v>
      </c>
      <c r="M4" s="24">
        <v>25</v>
      </c>
      <c r="N4" s="24">
        <v>167</v>
      </c>
      <c r="O4" s="24">
        <f t="shared" si="0"/>
        <v>4175</v>
      </c>
      <c r="P4">
        <f t="shared" si="1"/>
        <v>25050</v>
      </c>
    </row>
    <row r="5" spans="1:16" x14ac:dyDescent="0.25">
      <c r="A5" t="s">
        <v>905</v>
      </c>
      <c r="B5" t="s">
        <v>199</v>
      </c>
      <c r="C5" t="s">
        <v>199</v>
      </c>
      <c r="D5" s="24">
        <v>50</v>
      </c>
      <c r="E5" s="76">
        <v>12969</v>
      </c>
      <c r="F5" t="s">
        <v>192</v>
      </c>
      <c r="G5" s="24">
        <v>25</v>
      </c>
      <c r="H5" s="76">
        <v>5263</v>
      </c>
      <c r="J5" s="24"/>
      <c r="K5" s="76">
        <v>0</v>
      </c>
      <c r="L5" s="77">
        <v>4</v>
      </c>
      <c r="M5" s="24">
        <v>25</v>
      </c>
      <c r="N5" s="24">
        <v>71</v>
      </c>
      <c r="O5" s="24">
        <f t="shared" si="0"/>
        <v>1775</v>
      </c>
      <c r="P5">
        <f t="shared" si="1"/>
        <v>10650</v>
      </c>
    </row>
    <row r="6" spans="1:16" x14ac:dyDescent="0.25">
      <c r="A6" t="s">
        <v>944</v>
      </c>
      <c r="B6" t="s">
        <v>771</v>
      </c>
      <c r="C6" t="s">
        <v>771</v>
      </c>
      <c r="D6" s="24">
        <v>40</v>
      </c>
      <c r="E6" s="76">
        <v>6731</v>
      </c>
      <c r="G6" s="24"/>
      <c r="H6" s="76">
        <v>0</v>
      </c>
      <c r="J6" s="24"/>
      <c r="K6" s="76">
        <v>0</v>
      </c>
      <c r="L6" s="77">
        <v>8</v>
      </c>
      <c r="M6" s="24">
        <v>25</v>
      </c>
      <c r="N6" s="24">
        <v>127</v>
      </c>
      <c r="O6" s="24">
        <f t="shared" si="0"/>
        <v>3175</v>
      </c>
      <c r="P6">
        <f t="shared" si="1"/>
        <v>9525</v>
      </c>
    </row>
    <row r="7" spans="1:16" x14ac:dyDescent="0.25">
      <c r="A7" t="s">
        <v>879</v>
      </c>
      <c r="B7" t="s">
        <v>749</v>
      </c>
      <c r="C7" t="s">
        <v>749</v>
      </c>
      <c r="D7" s="24">
        <v>50</v>
      </c>
      <c r="E7" s="76">
        <v>14299</v>
      </c>
      <c r="F7" t="s">
        <v>795</v>
      </c>
      <c r="G7" s="24">
        <v>25</v>
      </c>
      <c r="H7" s="76">
        <v>2362</v>
      </c>
      <c r="J7" s="24"/>
      <c r="K7" s="76">
        <v>0</v>
      </c>
      <c r="L7" s="77">
        <v>4</v>
      </c>
      <c r="M7" s="24">
        <v>50</v>
      </c>
      <c r="N7" s="24">
        <v>12</v>
      </c>
      <c r="O7" s="24">
        <f t="shared" si="0"/>
        <v>600</v>
      </c>
      <c r="P7">
        <f t="shared" si="1"/>
        <v>3600</v>
      </c>
    </row>
    <row r="8" spans="1:16" x14ac:dyDescent="0.25">
      <c r="A8" t="s">
        <v>945</v>
      </c>
      <c r="B8" t="s">
        <v>184</v>
      </c>
      <c r="C8" t="s">
        <v>184</v>
      </c>
      <c r="D8" s="24">
        <v>50</v>
      </c>
      <c r="E8" s="76">
        <v>20</v>
      </c>
      <c r="F8" t="s">
        <v>194</v>
      </c>
      <c r="G8" s="24">
        <v>25</v>
      </c>
      <c r="H8" s="76">
        <v>1493</v>
      </c>
      <c r="J8" s="24"/>
      <c r="K8" s="76">
        <v>0</v>
      </c>
      <c r="L8" s="77">
        <v>16</v>
      </c>
      <c r="M8" s="24">
        <v>100</v>
      </c>
      <c r="N8" s="24">
        <v>13</v>
      </c>
      <c r="O8" s="24">
        <f t="shared" si="0"/>
        <v>1300</v>
      </c>
      <c r="P8">
        <f t="shared" si="1"/>
        <v>1950</v>
      </c>
    </row>
    <row r="9" spans="1:16" x14ac:dyDescent="0.25">
      <c r="A9" t="s">
        <v>946</v>
      </c>
      <c r="B9" t="s">
        <v>198</v>
      </c>
      <c r="C9" t="s">
        <v>198</v>
      </c>
      <c r="D9" s="24">
        <v>50</v>
      </c>
      <c r="E9" s="78">
        <v>7166</v>
      </c>
      <c r="F9" t="s">
        <v>193</v>
      </c>
      <c r="G9" s="24">
        <v>25</v>
      </c>
      <c r="H9" s="78">
        <v>4370</v>
      </c>
      <c r="J9" s="24"/>
      <c r="K9" s="78">
        <v>0</v>
      </c>
      <c r="L9" s="77">
        <v>16</v>
      </c>
      <c r="M9" s="24">
        <v>50</v>
      </c>
      <c r="N9" s="24">
        <v>23</v>
      </c>
      <c r="O9" s="24">
        <f t="shared" si="0"/>
        <v>1150</v>
      </c>
      <c r="P9">
        <f t="shared" si="1"/>
        <v>1725</v>
      </c>
    </row>
    <row r="10" spans="1:16" x14ac:dyDescent="0.25">
      <c r="A10" t="s">
        <v>947</v>
      </c>
      <c r="B10" t="s">
        <v>921</v>
      </c>
      <c r="C10" t="s">
        <v>757</v>
      </c>
      <c r="D10" s="24">
        <v>60</v>
      </c>
      <c r="E10" s="76">
        <v>10062</v>
      </c>
      <c r="F10" t="s">
        <v>192</v>
      </c>
      <c r="G10" s="24">
        <v>20</v>
      </c>
      <c r="H10" s="76">
        <v>5263</v>
      </c>
      <c r="J10" s="24"/>
      <c r="K10" s="76">
        <v>0</v>
      </c>
      <c r="L10" s="77">
        <v>1.33</v>
      </c>
      <c r="M10" s="24">
        <v>1</v>
      </c>
      <c r="N10" s="24">
        <v>0</v>
      </c>
      <c r="O10" s="24">
        <f t="shared" si="0"/>
        <v>0</v>
      </c>
      <c r="P10">
        <f t="shared" si="1"/>
        <v>0</v>
      </c>
    </row>
    <row r="11" spans="1:16" x14ac:dyDescent="0.25">
      <c r="A11" t="s">
        <v>948</v>
      </c>
      <c r="B11" t="s">
        <v>922</v>
      </c>
      <c r="C11" t="s">
        <v>726</v>
      </c>
      <c r="D11" s="24">
        <v>25</v>
      </c>
      <c r="E11" s="76">
        <v>15653</v>
      </c>
      <c r="F11" t="s">
        <v>196</v>
      </c>
      <c r="G11" s="24">
        <v>120</v>
      </c>
      <c r="H11" s="76">
        <v>470852</v>
      </c>
      <c r="I11" t="s">
        <v>191</v>
      </c>
      <c r="J11" s="24">
        <v>25</v>
      </c>
      <c r="K11" s="76">
        <v>1969</v>
      </c>
      <c r="L11" s="77">
        <v>2</v>
      </c>
      <c r="M11" s="24">
        <v>1</v>
      </c>
      <c r="N11" s="24">
        <v>0</v>
      </c>
      <c r="O11" s="24">
        <f t="shared" si="0"/>
        <v>0</v>
      </c>
      <c r="P11">
        <f t="shared" si="1"/>
        <v>0</v>
      </c>
    </row>
    <row r="12" spans="1:16" x14ac:dyDescent="0.25">
      <c r="A12" t="s">
        <v>949</v>
      </c>
      <c r="B12" t="s">
        <v>923</v>
      </c>
      <c r="C12" t="s">
        <v>950</v>
      </c>
      <c r="D12" s="24">
        <v>1</v>
      </c>
      <c r="E12" s="76">
        <v>6731</v>
      </c>
      <c r="F12" t="s">
        <v>740</v>
      </c>
      <c r="G12" s="24">
        <v>20</v>
      </c>
      <c r="H12" s="76">
        <v>44333</v>
      </c>
      <c r="J12" s="24"/>
      <c r="K12" s="76">
        <v>0</v>
      </c>
      <c r="L12" s="77">
        <v>4</v>
      </c>
      <c r="M12" s="24">
        <v>1</v>
      </c>
      <c r="N12" s="24">
        <v>0</v>
      </c>
      <c r="O12" s="24">
        <f t="shared" si="0"/>
        <v>0</v>
      </c>
      <c r="P12">
        <f t="shared" si="1"/>
        <v>0</v>
      </c>
    </row>
    <row r="13" spans="1:16" x14ac:dyDescent="0.25">
      <c r="A13" t="s">
        <v>951</v>
      </c>
      <c r="B13" t="s">
        <v>924</v>
      </c>
      <c r="C13" t="s">
        <v>738</v>
      </c>
      <c r="D13" s="24">
        <v>100</v>
      </c>
      <c r="E13" s="79">
        <v>1486</v>
      </c>
      <c r="F13" t="s">
        <v>752</v>
      </c>
      <c r="G13" s="24">
        <v>50</v>
      </c>
      <c r="H13" s="79">
        <v>4071</v>
      </c>
      <c r="J13" s="24"/>
      <c r="K13" s="79">
        <v>0</v>
      </c>
      <c r="L13" s="77">
        <v>3.33</v>
      </c>
      <c r="M13" s="24">
        <v>1</v>
      </c>
      <c r="N13" s="24">
        <v>0</v>
      </c>
      <c r="O13" s="24">
        <f t="shared" si="0"/>
        <v>0</v>
      </c>
      <c r="P13">
        <f t="shared" si="1"/>
        <v>0</v>
      </c>
    </row>
  </sheetData>
  <conditionalFormatting sqref="E1:E1048576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{736022E2-8EE2-4380-9EA2-B1E537DEA676}</x14:id>
        </ext>
      </extLst>
    </cfRule>
  </conditionalFormatting>
  <conditionalFormatting sqref="H1:H1048576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{38906020-D17A-4DCB-B214-4CC3C10B9245}</x14:id>
        </ext>
      </extLst>
    </cfRule>
  </conditionalFormatting>
  <conditionalFormatting sqref="K1:K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{5785C5EF-6BA1-42FF-BA65-728135BCC494}</x14:id>
        </ext>
      </extLst>
    </cfRule>
  </conditionalFormatting>
  <conditionalFormatting sqref="L2:L1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{BA772AB9-B21E-4ED4-8706-787075781182}</x14:id>
        </ext>
      </extLst>
    </cfRule>
  </conditionalFormatting>
  <conditionalFormatting sqref="N2:N13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{3C93CCC0-BAF5-40C1-B794-9F879AC6F2F4}</x14:id>
        </ext>
      </extLst>
    </cfRule>
  </conditionalFormatting>
  <conditionalFormatting sqref="O2:P13"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{4DC2E0C1-B07D-4532-A0FB-CEF71F3BFAD4}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36022E2-8EE2-4380-9EA2-B1E537DEA6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38906020-D17A-4DCB-B214-4CC3C10B92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H1:H1048576</xm:sqref>
        </x14:conditionalFormatting>
        <x14:conditionalFormatting xmlns:xm="http://schemas.microsoft.com/office/excel/2006/main">
          <x14:cfRule type="dataBar" id="{5785C5EF-6BA1-42FF-BA65-728135BCC4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K1:K1048576</xm:sqref>
        </x14:conditionalFormatting>
        <x14:conditionalFormatting xmlns:xm="http://schemas.microsoft.com/office/excel/2006/main">
          <x14:cfRule type="dataBar" id="{BA772AB9-B21E-4ED4-8706-78707578118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L2:L13</xm:sqref>
        </x14:conditionalFormatting>
        <x14:conditionalFormatting xmlns:xm="http://schemas.microsoft.com/office/excel/2006/main">
          <x14:cfRule type="dataBar" id="{3C93CCC0-BAF5-40C1-B794-9F879AC6F2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N2:N13</xm:sqref>
        </x14:conditionalFormatting>
        <x14:conditionalFormatting xmlns:xm="http://schemas.microsoft.com/office/excel/2006/main">
          <x14:cfRule type="dataBar" id="{4DC2E0C1-B07D-4532-A0FB-CEF71F3BFAD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O2:P13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AD832-11BD-40EC-B0E7-773D661A70E6}">
  <sheetPr codeName="Sheet11"/>
  <dimension ref="A1:C54"/>
  <sheetViews>
    <sheetView workbookViewId="0"/>
  </sheetViews>
  <sheetFormatPr defaultRowHeight="15" x14ac:dyDescent="0.25"/>
  <cols>
    <col min="1" max="1" width="28.85546875" bestFit="1" customWidth="1"/>
    <col min="2" max="2" width="17.7109375" bestFit="1" customWidth="1"/>
    <col min="3" max="3" width="25.28515625" bestFit="1" customWidth="1"/>
  </cols>
  <sheetData>
    <row r="1" spans="1:3" x14ac:dyDescent="0.25">
      <c r="A1" t="s">
        <v>952</v>
      </c>
      <c r="B1" t="s">
        <v>953</v>
      </c>
      <c r="C1" t="s">
        <v>709</v>
      </c>
    </row>
    <row r="2" spans="1:3" x14ac:dyDescent="0.25">
      <c r="A2" t="s">
        <v>834</v>
      </c>
      <c r="B2" t="s">
        <v>835</v>
      </c>
      <c r="C2" t="s">
        <v>954</v>
      </c>
    </row>
    <row r="3" spans="1:3" hidden="1" x14ac:dyDescent="0.25">
      <c r="A3" t="s">
        <v>947</v>
      </c>
      <c r="C3" t="s">
        <v>955</v>
      </c>
    </row>
    <row r="4" spans="1:3" x14ac:dyDescent="0.25">
      <c r="A4" t="s">
        <v>839</v>
      </c>
      <c r="B4" t="s">
        <v>840</v>
      </c>
      <c r="C4" t="s">
        <v>956</v>
      </c>
    </row>
    <row r="5" spans="1:3" x14ac:dyDescent="0.25">
      <c r="A5" t="s">
        <v>841</v>
      </c>
      <c r="B5" t="s">
        <v>957</v>
      </c>
      <c r="C5" t="s">
        <v>954</v>
      </c>
    </row>
    <row r="6" spans="1:3" x14ac:dyDescent="0.25">
      <c r="A6" t="s">
        <v>843</v>
      </c>
      <c r="B6" t="s">
        <v>844</v>
      </c>
      <c r="C6" t="s">
        <v>958</v>
      </c>
    </row>
    <row r="7" spans="1:3" hidden="1" x14ac:dyDescent="0.25">
      <c r="A7" t="s">
        <v>959</v>
      </c>
      <c r="C7" t="s">
        <v>960</v>
      </c>
    </row>
    <row r="8" spans="1:3" hidden="1" x14ac:dyDescent="0.25">
      <c r="A8" t="s">
        <v>961</v>
      </c>
      <c r="C8" t="s">
        <v>960</v>
      </c>
    </row>
    <row r="9" spans="1:3" hidden="1" x14ac:dyDescent="0.25">
      <c r="A9" t="s">
        <v>849</v>
      </c>
      <c r="C9" t="s">
        <v>960</v>
      </c>
    </row>
    <row r="10" spans="1:3" x14ac:dyDescent="0.25">
      <c r="A10" t="s">
        <v>850</v>
      </c>
      <c r="B10" t="s">
        <v>851</v>
      </c>
      <c r="C10" t="s">
        <v>956</v>
      </c>
    </row>
    <row r="11" spans="1:3" x14ac:dyDescent="0.25">
      <c r="A11" t="s">
        <v>853</v>
      </c>
      <c r="B11" t="s">
        <v>854</v>
      </c>
      <c r="C11" t="s">
        <v>954</v>
      </c>
    </row>
    <row r="12" spans="1:3" x14ac:dyDescent="0.25">
      <c r="A12" t="s">
        <v>855</v>
      </c>
      <c r="B12" t="s">
        <v>856</v>
      </c>
      <c r="C12" t="s">
        <v>954</v>
      </c>
    </row>
    <row r="13" spans="1:3" hidden="1" x14ac:dyDescent="0.25">
      <c r="A13" t="s">
        <v>945</v>
      </c>
      <c r="C13" t="s">
        <v>955</v>
      </c>
    </row>
    <row r="14" spans="1:3" x14ac:dyDescent="0.25">
      <c r="A14" t="s">
        <v>859</v>
      </c>
      <c r="B14" t="s">
        <v>860</v>
      </c>
      <c r="C14" t="s">
        <v>962</v>
      </c>
    </row>
    <row r="15" spans="1:3" x14ac:dyDescent="0.25">
      <c r="A15" t="s">
        <v>861</v>
      </c>
      <c r="B15" t="s">
        <v>862</v>
      </c>
      <c r="C15" t="s">
        <v>958</v>
      </c>
    </row>
    <row r="16" spans="1:3" x14ac:dyDescent="0.25">
      <c r="A16" t="s">
        <v>863</v>
      </c>
      <c r="B16" t="s">
        <v>864</v>
      </c>
      <c r="C16" t="s">
        <v>958</v>
      </c>
    </row>
    <row r="17" spans="1:3" x14ac:dyDescent="0.25">
      <c r="A17" t="s">
        <v>865</v>
      </c>
      <c r="B17" t="s">
        <v>866</v>
      </c>
      <c r="C17" t="s">
        <v>956</v>
      </c>
    </row>
    <row r="18" spans="1:3" x14ac:dyDescent="0.25">
      <c r="A18" t="s">
        <v>867</v>
      </c>
      <c r="B18" t="s">
        <v>868</v>
      </c>
      <c r="C18" t="s">
        <v>958</v>
      </c>
    </row>
    <row r="19" spans="1:3" x14ac:dyDescent="0.25">
      <c r="A19" t="s">
        <v>869</v>
      </c>
      <c r="B19" t="s">
        <v>870</v>
      </c>
      <c r="C19" t="s">
        <v>958</v>
      </c>
    </row>
    <row r="20" spans="1:3" x14ac:dyDescent="0.25">
      <c r="A20" t="s">
        <v>871</v>
      </c>
      <c r="B20" t="s">
        <v>872</v>
      </c>
      <c r="C20" t="s">
        <v>958</v>
      </c>
    </row>
    <row r="21" spans="1:3" x14ac:dyDescent="0.25">
      <c r="A21" t="s">
        <v>873</v>
      </c>
      <c r="B21" t="s">
        <v>874</v>
      </c>
      <c r="C21" t="s">
        <v>958</v>
      </c>
    </row>
    <row r="22" spans="1:3" x14ac:dyDescent="0.25">
      <c r="A22" t="s">
        <v>875</v>
      </c>
      <c r="B22" t="s">
        <v>876</v>
      </c>
      <c r="C22" t="s">
        <v>958</v>
      </c>
    </row>
    <row r="23" spans="1:3" hidden="1" x14ac:dyDescent="0.25">
      <c r="A23" t="s">
        <v>941</v>
      </c>
      <c r="C23" t="s">
        <v>955</v>
      </c>
    </row>
    <row r="24" spans="1:3" hidden="1" x14ac:dyDescent="0.25">
      <c r="A24" t="s">
        <v>942</v>
      </c>
      <c r="C24" t="s">
        <v>955</v>
      </c>
    </row>
    <row r="25" spans="1:3" x14ac:dyDescent="0.25">
      <c r="A25" t="s">
        <v>877</v>
      </c>
      <c r="B25" t="s">
        <v>878</v>
      </c>
      <c r="C25" t="s">
        <v>956</v>
      </c>
    </row>
    <row r="26" spans="1:3" hidden="1" x14ac:dyDescent="0.25">
      <c r="A26" t="s">
        <v>879</v>
      </c>
      <c r="C26" t="s">
        <v>955</v>
      </c>
    </row>
    <row r="27" spans="1:3" hidden="1" x14ac:dyDescent="0.25">
      <c r="A27" t="s">
        <v>948</v>
      </c>
      <c r="C27" t="s">
        <v>955</v>
      </c>
    </row>
    <row r="28" spans="1:3" hidden="1" x14ac:dyDescent="0.25">
      <c r="A28" t="s">
        <v>943</v>
      </c>
      <c r="C28" t="s">
        <v>955</v>
      </c>
    </row>
    <row r="29" spans="1:3" hidden="1" x14ac:dyDescent="0.25">
      <c r="A29" t="s">
        <v>963</v>
      </c>
      <c r="C29" t="s">
        <v>960</v>
      </c>
    </row>
    <row r="30" spans="1:3" hidden="1" x14ac:dyDescent="0.25">
      <c r="A30" t="s">
        <v>964</v>
      </c>
      <c r="C30" t="s">
        <v>960</v>
      </c>
    </row>
    <row r="31" spans="1:3" x14ac:dyDescent="0.25">
      <c r="A31" t="s">
        <v>881</v>
      </c>
      <c r="B31" t="s">
        <v>882</v>
      </c>
      <c r="C31" t="s">
        <v>962</v>
      </c>
    </row>
    <row r="32" spans="1:3" x14ac:dyDescent="0.25">
      <c r="A32" t="s">
        <v>883</v>
      </c>
      <c r="B32" t="s">
        <v>884</v>
      </c>
      <c r="C32" t="s">
        <v>958</v>
      </c>
    </row>
    <row r="33" spans="1:3" x14ac:dyDescent="0.25">
      <c r="A33" t="s">
        <v>886</v>
      </c>
      <c r="B33" t="s">
        <v>887</v>
      </c>
      <c r="C33" t="s">
        <v>958</v>
      </c>
    </row>
    <row r="34" spans="1:3" hidden="1" x14ac:dyDescent="0.25">
      <c r="A34" t="s">
        <v>944</v>
      </c>
      <c r="C34" t="s">
        <v>955</v>
      </c>
    </row>
    <row r="35" spans="1:3" hidden="1" x14ac:dyDescent="0.25">
      <c r="A35" t="s">
        <v>949</v>
      </c>
      <c r="C35" t="s">
        <v>955</v>
      </c>
    </row>
    <row r="36" spans="1:3" x14ac:dyDescent="0.25">
      <c r="A36" t="s">
        <v>890</v>
      </c>
      <c r="B36" t="s">
        <v>891</v>
      </c>
      <c r="C36" t="s">
        <v>954</v>
      </c>
    </row>
    <row r="37" spans="1:3" x14ac:dyDescent="0.25">
      <c r="A37" t="s">
        <v>892</v>
      </c>
      <c r="B37" t="s">
        <v>893</v>
      </c>
      <c r="C37" t="s">
        <v>962</v>
      </c>
    </row>
    <row r="38" spans="1:3" hidden="1" x14ac:dyDescent="0.25">
      <c r="A38" t="s">
        <v>965</v>
      </c>
      <c r="C38" t="s">
        <v>960</v>
      </c>
    </row>
    <row r="39" spans="1:3" x14ac:dyDescent="0.25">
      <c r="A39" t="s">
        <v>896</v>
      </c>
      <c r="B39" t="s">
        <v>897</v>
      </c>
      <c r="C39" t="s">
        <v>962</v>
      </c>
    </row>
    <row r="40" spans="1:3" x14ac:dyDescent="0.25">
      <c r="A40" t="s">
        <v>898</v>
      </c>
      <c r="B40" t="s">
        <v>899</v>
      </c>
      <c r="C40" t="s">
        <v>958</v>
      </c>
    </row>
    <row r="41" spans="1:3" hidden="1" x14ac:dyDescent="0.25">
      <c r="A41" t="s">
        <v>966</v>
      </c>
      <c r="C41" t="s">
        <v>960</v>
      </c>
    </row>
    <row r="42" spans="1:3" x14ac:dyDescent="0.25">
      <c r="A42" t="s">
        <v>900</v>
      </c>
      <c r="B42" t="s">
        <v>901</v>
      </c>
      <c r="C42" t="s">
        <v>956</v>
      </c>
    </row>
    <row r="43" spans="1:3" x14ac:dyDescent="0.25">
      <c r="A43" t="s">
        <v>902</v>
      </c>
      <c r="B43" t="s">
        <v>903</v>
      </c>
      <c r="C43" t="s">
        <v>956</v>
      </c>
    </row>
    <row r="44" spans="1:3" hidden="1" x14ac:dyDescent="0.25">
      <c r="A44" t="s">
        <v>904</v>
      </c>
      <c r="C44" t="s">
        <v>960</v>
      </c>
    </row>
    <row r="45" spans="1:3" hidden="1" x14ac:dyDescent="0.25">
      <c r="A45" t="s">
        <v>946</v>
      </c>
      <c r="C45" t="s">
        <v>955</v>
      </c>
    </row>
    <row r="46" spans="1:3" hidden="1" x14ac:dyDescent="0.25">
      <c r="A46" t="s">
        <v>967</v>
      </c>
      <c r="C46" t="s">
        <v>955</v>
      </c>
    </row>
    <row r="47" spans="1:3" hidden="1" x14ac:dyDescent="0.25">
      <c r="A47" t="s">
        <v>905</v>
      </c>
      <c r="C47" t="s">
        <v>955</v>
      </c>
    </row>
    <row r="48" spans="1:3" x14ac:dyDescent="0.25">
      <c r="A48" t="s">
        <v>906</v>
      </c>
      <c r="B48" t="s">
        <v>907</v>
      </c>
      <c r="C48" t="s">
        <v>962</v>
      </c>
    </row>
    <row r="49" spans="1:3" x14ac:dyDescent="0.25">
      <c r="A49" t="s">
        <v>908</v>
      </c>
      <c r="B49" t="s">
        <v>909</v>
      </c>
      <c r="C49" t="s">
        <v>962</v>
      </c>
    </row>
    <row r="50" spans="1:3" x14ac:dyDescent="0.25">
      <c r="A50" t="s">
        <v>910</v>
      </c>
      <c r="B50" t="s">
        <v>911</v>
      </c>
      <c r="C50" t="s">
        <v>956</v>
      </c>
    </row>
    <row r="51" spans="1:3" hidden="1" x14ac:dyDescent="0.25">
      <c r="A51" t="s">
        <v>968</v>
      </c>
      <c r="C51" t="s">
        <v>960</v>
      </c>
    </row>
    <row r="52" spans="1:3" x14ac:dyDescent="0.25">
      <c r="A52" t="s">
        <v>912</v>
      </c>
      <c r="B52" t="s">
        <v>913</v>
      </c>
      <c r="C52" t="s">
        <v>956</v>
      </c>
    </row>
    <row r="53" spans="1:3" hidden="1" x14ac:dyDescent="0.25">
      <c r="A53" t="s">
        <v>951</v>
      </c>
      <c r="C53" t="s">
        <v>955</v>
      </c>
    </row>
    <row r="54" spans="1:3" x14ac:dyDescent="0.25">
      <c r="A54" t="s">
        <v>916</v>
      </c>
      <c r="B54" t="s">
        <v>917</v>
      </c>
      <c r="C54" t="s">
        <v>962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A5E7F-982D-449C-8FFC-40F8B84F12F0}">
  <sheetPr codeName="Sheet12"/>
  <dimension ref="A1:AG20"/>
  <sheetViews>
    <sheetView workbookViewId="0"/>
  </sheetViews>
  <sheetFormatPr defaultRowHeight="15" x14ac:dyDescent="0.25"/>
  <cols>
    <col min="1" max="1" width="9.42578125" style="22" bestFit="1" customWidth="1"/>
    <col min="2" max="2" width="19.85546875" style="24" bestFit="1" customWidth="1"/>
    <col min="3" max="4" width="6.7109375" style="24" bestFit="1" customWidth="1"/>
    <col min="5" max="6" width="5.85546875" style="24" bestFit="1" customWidth="1"/>
    <col min="7" max="7" width="6.85546875" style="24" bestFit="1" customWidth="1"/>
    <col min="8" max="8" width="7.140625" style="24" bestFit="1" customWidth="1"/>
    <col min="9" max="9" width="7" style="24" bestFit="1" customWidth="1"/>
    <col min="10" max="10" width="5.7109375" style="24" bestFit="1" customWidth="1"/>
    <col min="11" max="11" width="7" style="24" bestFit="1" customWidth="1"/>
    <col min="12" max="12" width="6.7109375" style="24" bestFit="1" customWidth="1"/>
    <col min="13" max="13" width="6.42578125" style="24" bestFit="1" customWidth="1"/>
    <col min="14" max="14" width="7" style="24" bestFit="1" customWidth="1"/>
    <col min="15" max="15" width="6.140625" style="24" bestFit="1" customWidth="1"/>
    <col min="16" max="16" width="7.5703125" style="24" bestFit="1" customWidth="1"/>
    <col min="17" max="17" width="6.42578125" style="24" bestFit="1" customWidth="1"/>
    <col min="18" max="18" width="6.85546875" style="24" bestFit="1" customWidth="1"/>
    <col min="19" max="19" width="7" style="24" bestFit="1" customWidth="1"/>
    <col min="20" max="20" width="6" style="24" bestFit="1" customWidth="1"/>
    <col min="21" max="21" width="5.85546875" style="24" bestFit="1" customWidth="1"/>
    <col min="22" max="22" width="7" style="24" bestFit="1" customWidth="1"/>
    <col min="23" max="23" width="5.85546875" style="24" bestFit="1" customWidth="1"/>
    <col min="24" max="24" width="7" bestFit="1" customWidth="1"/>
    <col min="25" max="25" width="7.42578125" bestFit="1" customWidth="1"/>
    <col min="26" max="26" width="7.140625" bestFit="1" customWidth="1"/>
    <col min="27" max="28" width="7" bestFit="1" customWidth="1"/>
    <col min="29" max="29" width="7.7109375" bestFit="1" customWidth="1"/>
    <col min="30" max="30" width="6.85546875" bestFit="1" customWidth="1"/>
    <col min="31" max="31" width="7" bestFit="1" customWidth="1"/>
    <col min="32" max="32" width="5.85546875" bestFit="1" customWidth="1"/>
    <col min="33" max="33" width="7.42578125" bestFit="1" customWidth="1"/>
  </cols>
  <sheetData>
    <row r="1" spans="1:33" ht="15.75" thickBot="1" x14ac:dyDescent="0.3">
      <c r="A1" s="22" t="s">
        <v>919</v>
      </c>
      <c r="B1" s="80" t="s">
        <v>969</v>
      </c>
      <c r="C1" s="22" t="s">
        <v>844</v>
      </c>
      <c r="D1" s="22" t="s">
        <v>862</v>
      </c>
      <c r="E1" s="22" t="s">
        <v>864</v>
      </c>
      <c r="F1" s="32" t="s">
        <v>868</v>
      </c>
      <c r="G1" s="22" t="s">
        <v>870</v>
      </c>
      <c r="H1" s="22" t="s">
        <v>872</v>
      </c>
      <c r="I1" s="22" t="s">
        <v>874</v>
      </c>
      <c r="J1" s="22" t="s">
        <v>876</v>
      </c>
      <c r="K1" s="22" t="s">
        <v>884</v>
      </c>
      <c r="L1" s="22" t="s">
        <v>887</v>
      </c>
      <c r="M1" s="22" t="s">
        <v>899</v>
      </c>
      <c r="N1" s="81" t="s">
        <v>842</v>
      </c>
      <c r="O1" s="81" t="s">
        <v>854</v>
      </c>
      <c r="P1" s="81" t="s">
        <v>856</v>
      </c>
      <c r="Q1" s="81" t="s">
        <v>882</v>
      </c>
      <c r="R1" s="81" t="s">
        <v>911</v>
      </c>
      <c r="S1" s="82" t="s">
        <v>878</v>
      </c>
      <c r="T1" s="82" t="s">
        <v>891</v>
      </c>
      <c r="U1" s="82" t="s">
        <v>897</v>
      </c>
      <c r="V1" s="82" t="s">
        <v>907</v>
      </c>
      <c r="W1" s="83" t="s">
        <v>913</v>
      </c>
      <c r="X1" s="84" t="s">
        <v>835</v>
      </c>
      <c r="Y1" s="84" t="s">
        <v>840</v>
      </c>
      <c r="Z1" s="84" t="s">
        <v>851</v>
      </c>
      <c r="AA1" s="84" t="s">
        <v>860</v>
      </c>
      <c r="AB1" s="84" t="s">
        <v>866</v>
      </c>
      <c r="AC1" s="84" t="s">
        <v>893</v>
      </c>
      <c r="AD1" s="84" t="s">
        <v>901</v>
      </c>
      <c r="AE1" s="84" t="s">
        <v>903</v>
      </c>
      <c r="AF1" s="84" t="s">
        <v>909</v>
      </c>
      <c r="AG1" s="84" t="s">
        <v>917</v>
      </c>
    </row>
    <row r="2" spans="1:33" ht="16.5" thickTop="1" thickBot="1" x14ac:dyDescent="0.3">
      <c r="A2" s="85" t="s">
        <v>970</v>
      </c>
      <c r="B2" s="86"/>
      <c r="C2" s="87">
        <v>15695</v>
      </c>
      <c r="D2" s="87">
        <v>15695</v>
      </c>
      <c r="E2" s="87">
        <v>9417</v>
      </c>
      <c r="F2" s="88">
        <v>3701</v>
      </c>
      <c r="G2" s="87">
        <v>3701</v>
      </c>
      <c r="H2" s="88">
        <v>668</v>
      </c>
      <c r="I2" s="87">
        <v>668</v>
      </c>
      <c r="J2" s="87">
        <v>3701</v>
      </c>
      <c r="K2" s="87">
        <v>47085</v>
      </c>
      <c r="L2" s="87">
        <v>15695</v>
      </c>
      <c r="M2" s="87">
        <v>668</v>
      </c>
      <c r="N2" s="87">
        <v>337</v>
      </c>
      <c r="O2" s="87">
        <v>405</v>
      </c>
      <c r="P2" s="87">
        <v>289</v>
      </c>
      <c r="Q2" s="88">
        <v>337</v>
      </c>
      <c r="R2" s="88">
        <v>782</v>
      </c>
      <c r="S2" s="87">
        <v>9</v>
      </c>
      <c r="T2" s="87">
        <v>25</v>
      </c>
      <c r="U2" s="87">
        <v>1</v>
      </c>
      <c r="V2" s="87">
        <v>49</v>
      </c>
      <c r="W2" s="87">
        <v>3</v>
      </c>
      <c r="X2" s="87">
        <v>37</v>
      </c>
      <c r="Y2" s="87">
        <v>0</v>
      </c>
      <c r="Z2" s="87">
        <v>1</v>
      </c>
      <c r="AA2" s="87">
        <v>333</v>
      </c>
      <c r="AB2" s="87">
        <v>101</v>
      </c>
      <c r="AC2" s="87">
        <v>1</v>
      </c>
      <c r="AD2" s="87">
        <v>42</v>
      </c>
      <c r="AE2" s="87">
        <v>78</v>
      </c>
      <c r="AF2" s="87">
        <v>601</v>
      </c>
      <c r="AG2" s="87">
        <v>193</v>
      </c>
    </row>
    <row r="3" spans="1:33" ht="15.75" thickTop="1" x14ac:dyDescent="0.25">
      <c r="A3" s="24">
        <v>1</v>
      </c>
      <c r="B3" s="24">
        <f>462-SUM(C3:AG3)</f>
        <v>125</v>
      </c>
      <c r="F3" s="24">
        <v>15</v>
      </c>
      <c r="G3" s="24">
        <v>2</v>
      </c>
      <c r="H3" s="24">
        <v>41</v>
      </c>
      <c r="J3" s="24">
        <v>2</v>
      </c>
      <c r="N3" s="24">
        <v>1</v>
      </c>
      <c r="P3" s="24">
        <v>180</v>
      </c>
      <c r="Q3" s="24">
        <v>31</v>
      </c>
      <c r="R3" s="24">
        <v>34</v>
      </c>
      <c r="S3" s="24">
        <v>1</v>
      </c>
      <c r="T3" s="24">
        <v>1</v>
      </c>
      <c r="U3" s="24">
        <v>6</v>
      </c>
      <c r="V3" s="24">
        <v>2</v>
      </c>
      <c r="W3" s="24">
        <v>1</v>
      </c>
      <c r="X3">
        <v>1</v>
      </c>
      <c r="Y3">
        <v>1</v>
      </c>
      <c r="Z3">
        <v>1</v>
      </c>
      <c r="AA3">
        <v>1</v>
      </c>
      <c r="AB3">
        <v>5</v>
      </c>
      <c r="AC3">
        <v>1</v>
      </c>
      <c r="AD3">
        <v>1</v>
      </c>
      <c r="AF3">
        <v>8</v>
      </c>
      <c r="AG3">
        <v>1</v>
      </c>
    </row>
    <row r="4" spans="1:33" x14ac:dyDescent="0.25">
      <c r="A4" s="24">
        <v>2</v>
      </c>
      <c r="B4" s="24">
        <f t="shared" ref="B4:B17" si="0">462-SUM(C4:AG4)</f>
        <v>286</v>
      </c>
      <c r="D4" s="24">
        <v>2</v>
      </c>
      <c r="F4" s="24">
        <v>4</v>
      </c>
      <c r="G4" s="24">
        <v>4</v>
      </c>
      <c r="H4" s="24">
        <v>95</v>
      </c>
      <c r="J4" s="24">
        <v>4</v>
      </c>
      <c r="Q4" s="24">
        <v>56</v>
      </c>
      <c r="R4" s="24">
        <v>11</v>
      </c>
    </row>
    <row r="5" spans="1:33" x14ac:dyDescent="0.25">
      <c r="A5" s="24">
        <v>3</v>
      </c>
      <c r="B5" s="24">
        <f t="shared" si="0"/>
        <v>286</v>
      </c>
      <c r="F5" s="24">
        <v>2</v>
      </c>
      <c r="G5" s="24">
        <v>4</v>
      </c>
      <c r="H5" s="24">
        <v>81</v>
      </c>
      <c r="J5" s="24">
        <v>4</v>
      </c>
      <c r="Q5" s="24">
        <v>69</v>
      </c>
      <c r="R5" s="24">
        <v>16</v>
      </c>
    </row>
    <row r="6" spans="1:33" x14ac:dyDescent="0.25">
      <c r="A6" s="24">
        <v>4</v>
      </c>
      <c r="B6" s="24">
        <f t="shared" si="0"/>
        <v>304</v>
      </c>
      <c r="C6" s="80"/>
      <c r="D6" s="80"/>
      <c r="E6" s="80"/>
      <c r="F6" s="80">
        <v>10</v>
      </c>
      <c r="G6" s="80">
        <v>4</v>
      </c>
      <c r="H6" s="80">
        <v>60</v>
      </c>
      <c r="I6" s="80"/>
      <c r="J6" s="80">
        <v>4</v>
      </c>
      <c r="K6" s="80"/>
      <c r="L6" s="80"/>
      <c r="M6" s="80"/>
      <c r="N6" s="80"/>
      <c r="O6" s="80"/>
      <c r="P6" s="80"/>
      <c r="Q6" s="80">
        <v>40</v>
      </c>
      <c r="R6" s="80">
        <v>40</v>
      </c>
      <c r="S6" s="80"/>
      <c r="T6" s="80"/>
      <c r="U6" s="80"/>
      <c r="V6" s="80"/>
      <c r="W6" s="80"/>
      <c r="X6" s="25"/>
      <c r="Y6" s="25"/>
      <c r="Z6" s="25"/>
      <c r="AA6" s="25"/>
      <c r="AB6" s="25"/>
      <c r="AC6" s="25"/>
      <c r="AD6" s="25"/>
      <c r="AE6" s="25"/>
      <c r="AF6" s="25"/>
      <c r="AG6" s="25"/>
    </row>
    <row r="7" spans="1:33" x14ac:dyDescent="0.25">
      <c r="A7" s="24">
        <v>5</v>
      </c>
      <c r="B7" s="24">
        <f t="shared" si="0"/>
        <v>304</v>
      </c>
      <c r="C7" s="80"/>
      <c r="D7" s="80"/>
      <c r="E7" s="80"/>
      <c r="F7" s="80">
        <v>10</v>
      </c>
      <c r="G7" s="80">
        <v>4</v>
      </c>
      <c r="H7" s="80">
        <v>60</v>
      </c>
      <c r="I7" s="80"/>
      <c r="J7" s="80">
        <v>4</v>
      </c>
      <c r="K7" s="80"/>
      <c r="L7" s="80"/>
      <c r="M7" s="80"/>
      <c r="N7" s="80"/>
      <c r="O7" s="80"/>
      <c r="P7" s="80"/>
      <c r="Q7" s="80">
        <v>40</v>
      </c>
      <c r="R7" s="80">
        <v>40</v>
      </c>
      <c r="S7" s="80"/>
      <c r="T7" s="80"/>
      <c r="U7" s="80"/>
      <c r="V7" s="80"/>
      <c r="W7" s="80"/>
      <c r="X7" s="25"/>
      <c r="Y7" s="25"/>
      <c r="Z7" s="25"/>
      <c r="AA7" s="25"/>
      <c r="AB7" s="25"/>
      <c r="AC7" s="25"/>
      <c r="AD7" s="25"/>
      <c r="AE7" s="25"/>
      <c r="AF7" s="25"/>
      <c r="AG7" s="25"/>
    </row>
    <row r="8" spans="1:33" x14ac:dyDescent="0.25">
      <c r="A8" s="24">
        <v>6</v>
      </c>
      <c r="B8" s="24">
        <f t="shared" si="0"/>
        <v>304</v>
      </c>
      <c r="C8" s="80"/>
      <c r="D8" s="80"/>
      <c r="E8" s="80"/>
      <c r="F8" s="80">
        <v>10</v>
      </c>
      <c r="G8" s="80">
        <v>4</v>
      </c>
      <c r="H8" s="80">
        <v>60</v>
      </c>
      <c r="I8" s="80"/>
      <c r="J8" s="80">
        <v>4</v>
      </c>
      <c r="K8" s="80"/>
      <c r="L8" s="80"/>
      <c r="M8" s="80"/>
      <c r="N8" s="80"/>
      <c r="O8" s="80"/>
      <c r="P8" s="80"/>
      <c r="Q8" s="80">
        <v>40</v>
      </c>
      <c r="R8" s="80">
        <v>40</v>
      </c>
      <c r="S8" s="80"/>
      <c r="T8" s="80"/>
      <c r="U8" s="80"/>
      <c r="V8" s="80"/>
      <c r="W8" s="80"/>
      <c r="X8" s="25"/>
      <c r="Y8" s="25"/>
      <c r="Z8" s="25"/>
      <c r="AA8" s="25"/>
      <c r="AB8" s="25"/>
      <c r="AC8" s="25"/>
      <c r="AD8" s="25"/>
      <c r="AE8" s="25"/>
      <c r="AF8" s="25"/>
      <c r="AG8" s="25"/>
    </row>
    <row r="9" spans="1:33" x14ac:dyDescent="0.25">
      <c r="A9" s="24">
        <v>7</v>
      </c>
      <c r="B9" s="24">
        <f t="shared" si="0"/>
        <v>304</v>
      </c>
      <c r="C9" s="80"/>
      <c r="D9" s="80"/>
      <c r="E9" s="80"/>
      <c r="F9" s="80">
        <v>10</v>
      </c>
      <c r="G9" s="80">
        <v>4</v>
      </c>
      <c r="H9" s="80">
        <v>60</v>
      </c>
      <c r="I9" s="80"/>
      <c r="J9" s="80">
        <v>4</v>
      </c>
      <c r="K9" s="80"/>
      <c r="L9" s="80"/>
      <c r="M9" s="80"/>
      <c r="N9" s="80"/>
      <c r="O9" s="80"/>
      <c r="P9" s="80"/>
      <c r="Q9" s="80">
        <v>40</v>
      </c>
      <c r="R9" s="80">
        <v>40</v>
      </c>
      <c r="S9" s="80"/>
      <c r="T9" s="80"/>
      <c r="U9" s="80"/>
      <c r="V9" s="80"/>
      <c r="W9" s="80"/>
      <c r="X9" s="25"/>
      <c r="Y9" s="25"/>
      <c r="Z9" s="25"/>
      <c r="AA9" s="25"/>
      <c r="AB9" s="25"/>
      <c r="AC9" s="25"/>
      <c r="AD9" s="25"/>
      <c r="AE9" s="25"/>
      <c r="AF9" s="25"/>
      <c r="AG9" s="25"/>
    </row>
    <row r="10" spans="1:33" x14ac:dyDescent="0.25">
      <c r="A10" s="24">
        <v>8</v>
      </c>
      <c r="B10" s="24">
        <f t="shared" si="0"/>
        <v>304</v>
      </c>
      <c r="C10" s="80"/>
      <c r="D10" s="80"/>
      <c r="E10" s="80"/>
      <c r="F10" s="80">
        <v>10</v>
      </c>
      <c r="G10" s="80">
        <v>4</v>
      </c>
      <c r="H10" s="80">
        <v>60</v>
      </c>
      <c r="I10" s="80"/>
      <c r="J10" s="80">
        <v>4</v>
      </c>
      <c r="K10" s="80"/>
      <c r="L10" s="80"/>
      <c r="M10" s="80"/>
      <c r="N10" s="80"/>
      <c r="O10" s="80"/>
      <c r="P10" s="80"/>
      <c r="Q10" s="80">
        <v>40</v>
      </c>
      <c r="R10" s="80">
        <v>40</v>
      </c>
      <c r="S10" s="80"/>
      <c r="T10" s="80"/>
      <c r="U10" s="80"/>
      <c r="V10" s="80"/>
      <c r="W10" s="80"/>
      <c r="X10" s="25"/>
      <c r="Y10" s="25"/>
      <c r="Z10" s="25"/>
      <c r="AA10" s="25"/>
      <c r="AB10" s="25"/>
      <c r="AC10" s="25"/>
      <c r="AD10" s="25"/>
      <c r="AE10" s="25"/>
      <c r="AF10" s="25"/>
      <c r="AG10" s="25"/>
    </row>
    <row r="11" spans="1:33" x14ac:dyDescent="0.25">
      <c r="A11" s="24">
        <v>9</v>
      </c>
      <c r="B11" s="24">
        <f t="shared" si="0"/>
        <v>304</v>
      </c>
      <c r="C11" s="80"/>
      <c r="D11" s="80"/>
      <c r="E11" s="80"/>
      <c r="F11" s="80">
        <v>10</v>
      </c>
      <c r="G11" s="80">
        <v>4</v>
      </c>
      <c r="H11" s="80">
        <v>60</v>
      </c>
      <c r="I11" s="80"/>
      <c r="J11" s="80">
        <v>4</v>
      </c>
      <c r="K11" s="80"/>
      <c r="L11" s="80"/>
      <c r="M11" s="80"/>
      <c r="N11" s="80"/>
      <c r="O11" s="80"/>
      <c r="P11" s="80"/>
      <c r="Q11" s="80">
        <v>40</v>
      </c>
      <c r="R11" s="80">
        <v>40</v>
      </c>
      <c r="S11" s="80"/>
      <c r="T11" s="80"/>
      <c r="U11" s="80"/>
      <c r="V11" s="80"/>
      <c r="W11" s="80"/>
      <c r="X11" s="25"/>
      <c r="Y11" s="25"/>
      <c r="Z11" s="25"/>
      <c r="AA11" s="25"/>
      <c r="AB11" s="25"/>
      <c r="AC11" s="25"/>
      <c r="AD11" s="25"/>
      <c r="AE11" s="25"/>
      <c r="AF11" s="25"/>
      <c r="AG11" s="25"/>
    </row>
    <row r="12" spans="1:33" x14ac:dyDescent="0.25">
      <c r="A12" s="24">
        <v>10</v>
      </c>
      <c r="B12" s="24">
        <f t="shared" si="0"/>
        <v>304</v>
      </c>
      <c r="C12" s="80"/>
      <c r="D12" s="80"/>
      <c r="E12" s="80"/>
      <c r="F12" s="80">
        <v>10</v>
      </c>
      <c r="G12" s="80">
        <v>4</v>
      </c>
      <c r="H12" s="80">
        <v>60</v>
      </c>
      <c r="I12" s="80"/>
      <c r="J12" s="80">
        <v>4</v>
      </c>
      <c r="K12" s="80"/>
      <c r="L12" s="80"/>
      <c r="M12" s="80"/>
      <c r="N12" s="80"/>
      <c r="O12" s="80"/>
      <c r="P12" s="80"/>
      <c r="Q12" s="80">
        <v>40</v>
      </c>
      <c r="R12" s="80">
        <v>40</v>
      </c>
      <c r="S12" s="80"/>
      <c r="T12" s="80"/>
      <c r="U12" s="80"/>
      <c r="V12" s="80"/>
      <c r="W12" s="80"/>
      <c r="X12" s="25"/>
      <c r="Y12" s="25"/>
      <c r="Z12" s="25"/>
      <c r="AA12" s="25"/>
      <c r="AB12" s="25"/>
      <c r="AC12" s="25"/>
      <c r="AD12" s="25"/>
      <c r="AE12" s="25"/>
      <c r="AF12" s="25"/>
      <c r="AG12" s="25"/>
    </row>
    <row r="13" spans="1:33" x14ac:dyDescent="0.25">
      <c r="A13" s="24">
        <v>11</v>
      </c>
      <c r="B13" s="24">
        <f t="shared" si="0"/>
        <v>304</v>
      </c>
      <c r="C13" s="80"/>
      <c r="D13" s="80"/>
      <c r="E13" s="80"/>
      <c r="F13" s="80">
        <v>10</v>
      </c>
      <c r="G13" s="80">
        <v>4</v>
      </c>
      <c r="H13" s="80">
        <v>60</v>
      </c>
      <c r="I13" s="80"/>
      <c r="J13" s="80">
        <v>4</v>
      </c>
      <c r="K13" s="80"/>
      <c r="L13" s="80"/>
      <c r="M13" s="80"/>
      <c r="N13" s="80"/>
      <c r="O13" s="80"/>
      <c r="P13" s="80"/>
      <c r="Q13" s="80">
        <v>40</v>
      </c>
      <c r="R13" s="80">
        <v>40</v>
      </c>
      <c r="S13" s="80"/>
      <c r="T13" s="80"/>
      <c r="U13" s="80"/>
      <c r="V13" s="80"/>
      <c r="W13" s="80"/>
      <c r="X13" s="25"/>
      <c r="Y13" s="25"/>
      <c r="Z13" s="25"/>
      <c r="AA13" s="25"/>
      <c r="AB13" s="25"/>
      <c r="AC13" s="25"/>
      <c r="AD13" s="25"/>
      <c r="AE13" s="25"/>
      <c r="AF13" s="25"/>
      <c r="AG13" s="25"/>
    </row>
    <row r="14" spans="1:33" x14ac:dyDescent="0.25">
      <c r="A14" s="24">
        <v>12</v>
      </c>
      <c r="B14" s="24">
        <f t="shared" si="0"/>
        <v>304</v>
      </c>
      <c r="C14" s="80"/>
      <c r="D14" s="80"/>
      <c r="E14" s="80"/>
      <c r="F14" s="80">
        <v>10</v>
      </c>
      <c r="G14" s="80">
        <v>4</v>
      </c>
      <c r="H14" s="80">
        <v>60</v>
      </c>
      <c r="I14" s="80"/>
      <c r="J14" s="80">
        <v>4</v>
      </c>
      <c r="K14" s="80"/>
      <c r="L14" s="80"/>
      <c r="M14" s="80"/>
      <c r="N14" s="80"/>
      <c r="O14" s="80"/>
      <c r="P14" s="80"/>
      <c r="Q14" s="80">
        <v>40</v>
      </c>
      <c r="R14" s="80">
        <v>40</v>
      </c>
      <c r="S14" s="80"/>
      <c r="T14" s="80"/>
      <c r="U14" s="80"/>
      <c r="V14" s="80"/>
      <c r="W14" s="80"/>
      <c r="X14" s="25"/>
      <c r="Y14" s="25"/>
      <c r="Z14" s="25"/>
      <c r="AA14" s="25"/>
      <c r="AB14" s="25"/>
      <c r="AC14" s="25"/>
      <c r="AD14" s="25"/>
      <c r="AE14" s="25"/>
      <c r="AF14" s="25"/>
      <c r="AG14" s="25"/>
    </row>
    <row r="15" spans="1:33" x14ac:dyDescent="0.25">
      <c r="A15" s="24">
        <v>13</v>
      </c>
      <c r="B15" s="24">
        <f t="shared" si="0"/>
        <v>304</v>
      </c>
      <c r="C15" s="80"/>
      <c r="D15" s="80"/>
      <c r="E15" s="80"/>
      <c r="F15" s="80">
        <v>10</v>
      </c>
      <c r="G15" s="80">
        <v>4</v>
      </c>
      <c r="H15" s="80">
        <v>60</v>
      </c>
      <c r="I15" s="80"/>
      <c r="J15" s="80">
        <v>4</v>
      </c>
      <c r="K15" s="80"/>
      <c r="L15" s="80"/>
      <c r="M15" s="80"/>
      <c r="N15" s="80"/>
      <c r="O15" s="80"/>
      <c r="P15" s="80"/>
      <c r="Q15" s="80">
        <v>40</v>
      </c>
      <c r="R15" s="80">
        <v>40</v>
      </c>
      <c r="S15" s="80"/>
      <c r="T15" s="80"/>
      <c r="U15" s="80"/>
      <c r="V15" s="80"/>
      <c r="W15" s="80"/>
      <c r="X15" s="25"/>
      <c r="Y15" s="25"/>
      <c r="Z15" s="25"/>
      <c r="AA15" s="25"/>
      <c r="AB15" s="25"/>
      <c r="AC15" s="25"/>
      <c r="AD15" s="25"/>
      <c r="AE15" s="25"/>
      <c r="AF15" s="25"/>
      <c r="AG15" s="25"/>
    </row>
    <row r="16" spans="1:33" x14ac:dyDescent="0.25">
      <c r="A16" s="24">
        <v>14</v>
      </c>
      <c r="B16" s="24">
        <f t="shared" si="0"/>
        <v>304</v>
      </c>
      <c r="C16" s="80"/>
      <c r="D16" s="80"/>
      <c r="E16" s="80"/>
      <c r="F16" s="80">
        <v>10</v>
      </c>
      <c r="G16" s="80">
        <v>4</v>
      </c>
      <c r="H16" s="80">
        <v>60</v>
      </c>
      <c r="I16" s="80"/>
      <c r="J16" s="80">
        <v>4</v>
      </c>
      <c r="K16" s="80"/>
      <c r="L16" s="80"/>
      <c r="M16" s="80"/>
      <c r="N16" s="80"/>
      <c r="O16" s="80"/>
      <c r="P16" s="80"/>
      <c r="Q16" s="80">
        <v>40</v>
      </c>
      <c r="R16" s="80">
        <v>40</v>
      </c>
      <c r="S16" s="80"/>
      <c r="T16" s="80"/>
      <c r="U16" s="80"/>
      <c r="V16" s="80"/>
      <c r="W16" s="80"/>
      <c r="X16" s="25"/>
      <c r="Y16" s="25"/>
      <c r="Z16" s="25"/>
      <c r="AA16" s="25"/>
      <c r="AB16" s="25"/>
      <c r="AC16" s="25"/>
      <c r="AD16" s="25"/>
      <c r="AE16" s="25"/>
      <c r="AF16" s="25"/>
      <c r="AG16" s="25"/>
    </row>
    <row r="17" spans="1:33" x14ac:dyDescent="0.25">
      <c r="A17" s="24">
        <v>15</v>
      </c>
      <c r="B17" s="24">
        <f t="shared" si="0"/>
        <v>304</v>
      </c>
      <c r="C17" s="80"/>
      <c r="D17" s="80"/>
      <c r="E17" s="80"/>
      <c r="F17" s="80">
        <v>10</v>
      </c>
      <c r="G17" s="80">
        <v>4</v>
      </c>
      <c r="H17" s="80">
        <v>60</v>
      </c>
      <c r="I17" s="80"/>
      <c r="J17" s="80">
        <v>4</v>
      </c>
      <c r="K17" s="80"/>
      <c r="L17" s="80"/>
      <c r="M17" s="80"/>
      <c r="N17" s="80"/>
      <c r="O17" s="80"/>
      <c r="P17" s="80"/>
      <c r="Q17" s="80">
        <v>40</v>
      </c>
      <c r="R17" s="80">
        <v>40</v>
      </c>
      <c r="S17" s="80"/>
      <c r="T17" s="80"/>
      <c r="U17" s="80"/>
      <c r="V17" s="80"/>
      <c r="W17" s="80"/>
      <c r="X17" s="25"/>
      <c r="Y17" s="25"/>
      <c r="Z17" s="25"/>
      <c r="AA17" s="25"/>
      <c r="AB17" s="25"/>
      <c r="AC17" s="25"/>
      <c r="AD17" s="25"/>
      <c r="AE17" s="25"/>
      <c r="AF17" s="25"/>
      <c r="AG17" s="25"/>
    </row>
    <row r="18" spans="1:33" x14ac:dyDescent="0.25">
      <c r="B18" s="89" t="s">
        <v>971</v>
      </c>
      <c r="C18" s="90">
        <f>SUM(C3:C17)</f>
        <v>0</v>
      </c>
      <c r="D18" s="90">
        <f t="shared" ref="D18:AG18" si="1">SUM(D3:D17)</f>
        <v>2</v>
      </c>
      <c r="E18" s="90">
        <f t="shared" si="1"/>
        <v>0</v>
      </c>
      <c r="F18" s="90">
        <f t="shared" si="1"/>
        <v>141</v>
      </c>
      <c r="G18" s="90">
        <f t="shared" si="1"/>
        <v>58</v>
      </c>
      <c r="H18" s="90">
        <f t="shared" si="1"/>
        <v>937</v>
      </c>
      <c r="I18" s="90">
        <f t="shared" si="1"/>
        <v>0</v>
      </c>
      <c r="J18" s="90">
        <f t="shared" si="1"/>
        <v>58</v>
      </c>
      <c r="K18" s="90">
        <f t="shared" si="1"/>
        <v>0</v>
      </c>
      <c r="L18" s="90">
        <f t="shared" si="1"/>
        <v>0</v>
      </c>
      <c r="M18" s="90">
        <f t="shared" si="1"/>
        <v>0</v>
      </c>
      <c r="N18" s="90">
        <f t="shared" si="1"/>
        <v>1</v>
      </c>
      <c r="O18" s="90">
        <f t="shared" si="1"/>
        <v>0</v>
      </c>
      <c r="P18" s="90">
        <f t="shared" si="1"/>
        <v>180</v>
      </c>
      <c r="Q18" s="90">
        <f t="shared" si="1"/>
        <v>636</v>
      </c>
      <c r="R18" s="90">
        <f t="shared" si="1"/>
        <v>541</v>
      </c>
      <c r="S18" s="90">
        <f t="shared" si="1"/>
        <v>1</v>
      </c>
      <c r="T18" s="90">
        <f t="shared" si="1"/>
        <v>1</v>
      </c>
      <c r="U18" s="90">
        <f t="shared" si="1"/>
        <v>6</v>
      </c>
      <c r="V18" s="90">
        <f t="shared" si="1"/>
        <v>2</v>
      </c>
      <c r="W18" s="90">
        <f t="shared" si="1"/>
        <v>1</v>
      </c>
      <c r="X18" s="90">
        <f t="shared" si="1"/>
        <v>1</v>
      </c>
      <c r="Y18" s="90">
        <f t="shared" si="1"/>
        <v>1</v>
      </c>
      <c r="Z18" s="90">
        <f t="shared" si="1"/>
        <v>1</v>
      </c>
      <c r="AA18" s="90">
        <f t="shared" si="1"/>
        <v>1</v>
      </c>
      <c r="AB18" s="90">
        <f t="shared" si="1"/>
        <v>5</v>
      </c>
      <c r="AC18" s="90">
        <f t="shared" si="1"/>
        <v>1</v>
      </c>
      <c r="AD18" s="90">
        <f t="shared" si="1"/>
        <v>1</v>
      </c>
      <c r="AE18" s="90">
        <f t="shared" si="1"/>
        <v>0</v>
      </c>
      <c r="AF18" s="90">
        <f t="shared" si="1"/>
        <v>8</v>
      </c>
      <c r="AG18" s="90">
        <f t="shared" si="1"/>
        <v>1</v>
      </c>
    </row>
    <row r="19" spans="1:33" x14ac:dyDescent="0.25">
      <c r="A19" s="22" t="s">
        <v>970</v>
      </c>
      <c r="C19" s="24">
        <v>15695</v>
      </c>
      <c r="D19" s="24">
        <v>15695</v>
      </c>
      <c r="E19" s="24">
        <v>9417</v>
      </c>
      <c r="F19" s="24">
        <v>3701</v>
      </c>
      <c r="G19" s="24">
        <v>3701</v>
      </c>
      <c r="H19" s="24">
        <v>668</v>
      </c>
      <c r="I19" s="24">
        <v>668</v>
      </c>
      <c r="J19" s="24">
        <v>3701</v>
      </c>
      <c r="K19" s="24">
        <v>47085</v>
      </c>
      <c r="L19" s="24">
        <v>15695</v>
      </c>
      <c r="M19" s="24">
        <v>668</v>
      </c>
      <c r="N19" s="24">
        <v>337</v>
      </c>
      <c r="O19" s="24">
        <v>405</v>
      </c>
      <c r="P19" s="24">
        <v>289</v>
      </c>
      <c r="Q19" s="24">
        <v>337</v>
      </c>
      <c r="R19" s="24">
        <v>782</v>
      </c>
      <c r="S19" s="24">
        <v>9</v>
      </c>
      <c r="T19" s="24">
        <v>25</v>
      </c>
      <c r="U19" s="24">
        <v>1</v>
      </c>
      <c r="V19" s="24">
        <v>49</v>
      </c>
      <c r="W19" s="24">
        <v>3</v>
      </c>
      <c r="X19" s="24">
        <v>37</v>
      </c>
      <c r="Y19" s="24">
        <v>0</v>
      </c>
      <c r="Z19" s="24">
        <v>1</v>
      </c>
      <c r="AA19" s="24">
        <v>333</v>
      </c>
      <c r="AB19" s="24">
        <v>101</v>
      </c>
      <c r="AC19" s="24">
        <v>1</v>
      </c>
      <c r="AD19" s="24">
        <v>42</v>
      </c>
      <c r="AE19" s="24">
        <v>78</v>
      </c>
      <c r="AF19" s="24">
        <v>601</v>
      </c>
      <c r="AG19" s="24">
        <v>193</v>
      </c>
    </row>
    <row r="20" spans="1:33" x14ac:dyDescent="0.25">
      <c r="C20" s="24">
        <f>C19-C18</f>
        <v>15695</v>
      </c>
      <c r="D20" s="24">
        <f t="shared" ref="D20:AG20" si="2">D19-D18</f>
        <v>15693</v>
      </c>
      <c r="E20" s="24">
        <f t="shared" si="2"/>
        <v>9417</v>
      </c>
      <c r="F20" s="24">
        <f t="shared" si="2"/>
        <v>3560</v>
      </c>
      <c r="G20" s="24">
        <f t="shared" si="2"/>
        <v>3643</v>
      </c>
      <c r="H20" s="24">
        <f t="shared" si="2"/>
        <v>-269</v>
      </c>
      <c r="I20" s="24">
        <f t="shared" si="2"/>
        <v>668</v>
      </c>
      <c r="J20" s="24">
        <f t="shared" si="2"/>
        <v>3643</v>
      </c>
      <c r="K20" s="24">
        <f t="shared" si="2"/>
        <v>47085</v>
      </c>
      <c r="L20" s="24">
        <f t="shared" si="2"/>
        <v>15695</v>
      </c>
      <c r="M20" s="24">
        <f t="shared" si="2"/>
        <v>668</v>
      </c>
      <c r="N20" s="24">
        <f t="shared" si="2"/>
        <v>336</v>
      </c>
      <c r="O20" s="24">
        <f t="shared" si="2"/>
        <v>405</v>
      </c>
      <c r="P20" s="24">
        <f t="shared" si="2"/>
        <v>109</v>
      </c>
      <c r="Q20" s="24">
        <f t="shared" si="2"/>
        <v>-299</v>
      </c>
      <c r="R20" s="24">
        <f t="shared" si="2"/>
        <v>241</v>
      </c>
      <c r="S20" s="24">
        <f t="shared" si="2"/>
        <v>8</v>
      </c>
      <c r="T20" s="24">
        <f t="shared" si="2"/>
        <v>24</v>
      </c>
      <c r="U20" s="24">
        <f t="shared" si="2"/>
        <v>-5</v>
      </c>
      <c r="V20" s="24">
        <f t="shared" si="2"/>
        <v>47</v>
      </c>
      <c r="W20" s="24">
        <f t="shared" si="2"/>
        <v>2</v>
      </c>
      <c r="X20" s="24">
        <f t="shared" si="2"/>
        <v>36</v>
      </c>
      <c r="Y20" s="24">
        <f t="shared" si="2"/>
        <v>-1</v>
      </c>
      <c r="Z20" s="24">
        <f t="shared" si="2"/>
        <v>0</v>
      </c>
      <c r="AA20" s="24">
        <f t="shared" si="2"/>
        <v>332</v>
      </c>
      <c r="AB20" s="24">
        <f t="shared" si="2"/>
        <v>96</v>
      </c>
      <c r="AC20" s="24">
        <f t="shared" si="2"/>
        <v>0</v>
      </c>
      <c r="AD20" s="24">
        <f t="shared" si="2"/>
        <v>41</v>
      </c>
      <c r="AE20" s="24">
        <f t="shared" si="2"/>
        <v>78</v>
      </c>
      <c r="AF20" s="24">
        <f t="shared" si="2"/>
        <v>593</v>
      </c>
      <c r="AG20" s="24">
        <f t="shared" si="2"/>
        <v>192</v>
      </c>
    </row>
  </sheetData>
  <conditionalFormatting sqref="C20:AG20">
    <cfRule type="cellIs" dxfId="15" priority="1" operator="lessThan">
      <formula>1</formula>
    </cfRule>
  </conditionalFormatting>
  <pageMargins left="0.7" right="0.7" top="0.75" bottom="0.75" header="0.3" footer="0.3"/>
  <ignoredErrors>
    <ignoredError sqref="B3:B17" calculatedColumn="1"/>
  </ignoredErrors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F97BF-E79D-406A-B2EE-5CE456B5319F}">
  <sheetPr codeName="Sheet14"/>
  <dimension ref="A1:Z26"/>
  <sheetViews>
    <sheetView tabSelected="1" zoomScale="120" zoomScaleNormal="120" workbookViewId="0"/>
  </sheetViews>
  <sheetFormatPr defaultRowHeight="15" x14ac:dyDescent="0.25"/>
  <cols>
    <col min="1" max="1" width="7.7109375" style="24" customWidth="1"/>
    <col min="2" max="2" width="6.7109375" style="24" customWidth="1"/>
    <col min="3" max="4" width="6.5703125" style="24" bestFit="1" customWidth="1"/>
    <col min="5" max="5" width="8.5703125" style="24" bestFit="1" customWidth="1"/>
    <col min="6" max="6" width="8.42578125" style="24" bestFit="1" customWidth="1"/>
    <col min="7" max="7" width="9.140625" style="24" bestFit="1" customWidth="1"/>
    <col min="8" max="9" width="6.5703125" style="24" bestFit="1" customWidth="1"/>
    <col min="10" max="10" width="8.140625" style="24" bestFit="1" customWidth="1"/>
    <col min="11" max="11" width="8" style="24" bestFit="1" customWidth="1"/>
    <col min="12" max="22" width="5.140625" style="24" customWidth="1"/>
    <col min="23" max="23" width="9.5703125" style="24" bestFit="1" customWidth="1"/>
    <col min="24" max="16384" width="9.140625" style="24"/>
  </cols>
  <sheetData>
    <row r="1" spans="1:26" ht="16.5" thickTop="1" thickBot="1" x14ac:dyDescent="0.3">
      <c r="A1" s="156" t="s">
        <v>972</v>
      </c>
      <c r="B1" s="98" t="s">
        <v>276</v>
      </c>
      <c r="C1" s="99" t="s">
        <v>973</v>
      </c>
      <c r="D1" s="99" t="s">
        <v>362</v>
      </c>
      <c r="E1" s="99" t="s">
        <v>310</v>
      </c>
      <c r="F1" s="99" t="s">
        <v>974</v>
      </c>
      <c r="G1" s="99" t="s">
        <v>355</v>
      </c>
      <c r="H1" s="99" t="s">
        <v>363</v>
      </c>
      <c r="I1" s="99" t="s">
        <v>371</v>
      </c>
      <c r="J1" s="99" t="s">
        <v>229</v>
      </c>
      <c r="K1" s="99" t="s">
        <v>289</v>
      </c>
      <c r="L1" s="99" t="s">
        <v>230</v>
      </c>
      <c r="M1" s="99" t="s">
        <v>290</v>
      </c>
      <c r="N1" s="99" t="s">
        <v>376</v>
      </c>
      <c r="O1" s="99" t="s">
        <v>296</v>
      </c>
      <c r="P1" s="99" t="s">
        <v>975</v>
      </c>
      <c r="Q1" s="99" t="s">
        <v>976</v>
      </c>
      <c r="R1" s="99" t="s">
        <v>329</v>
      </c>
      <c r="S1" s="99" t="s">
        <v>977</v>
      </c>
      <c r="T1" s="99" t="s">
        <v>978</v>
      </c>
      <c r="U1" s="99" t="s">
        <v>979</v>
      </c>
      <c r="V1" s="99" t="s">
        <v>980</v>
      </c>
      <c r="W1" s="157" t="s">
        <v>981</v>
      </c>
    </row>
    <row r="2" spans="1:26" ht="16.5" thickTop="1" thickBot="1" x14ac:dyDescent="0.3">
      <c r="A2" s="158">
        <v>1</v>
      </c>
      <c r="B2" s="159" t="s">
        <v>982</v>
      </c>
      <c r="C2" s="160" t="s">
        <v>982</v>
      </c>
      <c r="D2" s="160" t="s">
        <v>982</v>
      </c>
      <c r="E2" s="160" t="s">
        <v>982</v>
      </c>
      <c r="F2" s="156" t="s">
        <v>856</v>
      </c>
      <c r="G2" s="161" t="s">
        <v>983</v>
      </c>
      <c r="H2" s="162" t="s">
        <v>983</v>
      </c>
      <c r="I2" s="156" t="s">
        <v>856</v>
      </c>
      <c r="J2" s="163" t="s">
        <v>984</v>
      </c>
      <c r="K2" s="164" t="s">
        <v>985</v>
      </c>
      <c r="L2" s="165" t="s">
        <v>882</v>
      </c>
      <c r="M2" s="166" t="s">
        <v>882</v>
      </c>
      <c r="N2" s="166" t="s">
        <v>882</v>
      </c>
      <c r="O2" s="166" t="s">
        <v>882</v>
      </c>
      <c r="P2" s="166" t="s">
        <v>882</v>
      </c>
      <c r="Q2" s="166" t="s">
        <v>882</v>
      </c>
      <c r="R2" s="166" t="s">
        <v>882</v>
      </c>
      <c r="S2" s="166" t="s">
        <v>882</v>
      </c>
      <c r="T2" s="166" t="s">
        <v>882</v>
      </c>
      <c r="U2" s="166" t="s">
        <v>882</v>
      </c>
      <c r="V2" s="167" t="s">
        <v>882</v>
      </c>
      <c r="W2" s="168">
        <v>1</v>
      </c>
    </row>
    <row r="3" spans="1:26" ht="16.5" thickTop="1" thickBot="1" x14ac:dyDescent="0.3">
      <c r="A3" s="169">
        <v>2</v>
      </c>
      <c r="B3" s="170" t="s">
        <v>982</v>
      </c>
      <c r="C3" s="171" t="s">
        <v>982</v>
      </c>
      <c r="D3" s="171" t="s">
        <v>982</v>
      </c>
      <c r="E3" s="171" t="s">
        <v>982</v>
      </c>
      <c r="F3" s="156" t="s">
        <v>856</v>
      </c>
      <c r="G3" s="172" t="s">
        <v>983</v>
      </c>
      <c r="H3" s="173" t="s">
        <v>983</v>
      </c>
      <c r="I3" s="156" t="s">
        <v>856</v>
      </c>
      <c r="J3" s="174" t="s">
        <v>984</v>
      </c>
      <c r="K3" s="175" t="s">
        <v>985</v>
      </c>
      <c r="L3" s="176" t="s">
        <v>872</v>
      </c>
      <c r="M3" s="177" t="s">
        <v>872</v>
      </c>
      <c r="N3" s="177" t="s">
        <v>872</v>
      </c>
      <c r="O3" s="177" t="s">
        <v>872</v>
      </c>
      <c r="P3" s="177" t="s">
        <v>872</v>
      </c>
      <c r="Q3" s="177" t="s">
        <v>872</v>
      </c>
      <c r="R3" s="177" t="s">
        <v>872</v>
      </c>
      <c r="S3" s="177" t="s">
        <v>872</v>
      </c>
      <c r="T3" s="177" t="s">
        <v>872</v>
      </c>
      <c r="U3" s="177" t="s">
        <v>872</v>
      </c>
      <c r="V3" s="178" t="s">
        <v>882</v>
      </c>
      <c r="W3" s="168">
        <v>2</v>
      </c>
      <c r="Y3"/>
      <c r="Z3"/>
    </row>
    <row r="4" spans="1:26" ht="16.5" thickTop="1" thickBot="1" x14ac:dyDescent="0.3">
      <c r="A4" s="169">
        <v>3</v>
      </c>
      <c r="B4" s="170" t="s">
        <v>982</v>
      </c>
      <c r="C4" s="171" t="s">
        <v>982</v>
      </c>
      <c r="D4" s="171" t="s">
        <v>982</v>
      </c>
      <c r="E4" s="171" t="s">
        <v>982</v>
      </c>
      <c r="F4" s="156" t="s">
        <v>856</v>
      </c>
      <c r="G4" s="172" t="s">
        <v>983</v>
      </c>
      <c r="H4" s="173" t="s">
        <v>983</v>
      </c>
      <c r="I4" s="156" t="s">
        <v>856</v>
      </c>
      <c r="J4" s="174" t="s">
        <v>984</v>
      </c>
      <c r="K4" s="175" t="s">
        <v>985</v>
      </c>
      <c r="L4" s="178" t="s">
        <v>872</v>
      </c>
      <c r="M4" s="179" t="s">
        <v>862</v>
      </c>
      <c r="N4" s="180" t="s">
        <v>862</v>
      </c>
      <c r="O4" s="180" t="s">
        <v>862</v>
      </c>
      <c r="P4" s="180" t="s">
        <v>862</v>
      </c>
      <c r="Q4" s="180" t="s">
        <v>862</v>
      </c>
      <c r="R4" s="180" t="s">
        <v>862</v>
      </c>
      <c r="S4" s="180" t="s">
        <v>862</v>
      </c>
      <c r="T4" s="180" t="s">
        <v>862</v>
      </c>
      <c r="U4" s="178" t="s">
        <v>872</v>
      </c>
      <c r="V4" s="178" t="s">
        <v>882</v>
      </c>
      <c r="W4" s="168">
        <v>3</v>
      </c>
      <c r="Y4"/>
      <c r="Z4"/>
    </row>
    <row r="5" spans="1:26" ht="16.5" thickTop="1" thickBot="1" x14ac:dyDescent="0.3">
      <c r="A5" s="169">
        <v>4</v>
      </c>
      <c r="B5" s="170" t="s">
        <v>982</v>
      </c>
      <c r="C5" s="171" t="s">
        <v>982</v>
      </c>
      <c r="D5" s="171" t="s">
        <v>982</v>
      </c>
      <c r="E5" s="171" t="s">
        <v>982</v>
      </c>
      <c r="F5" s="156" t="s">
        <v>856</v>
      </c>
      <c r="G5" s="172" t="s">
        <v>983</v>
      </c>
      <c r="H5" s="173" t="s">
        <v>983</v>
      </c>
      <c r="I5" s="156" t="s">
        <v>856</v>
      </c>
      <c r="J5" s="174" t="s">
        <v>984</v>
      </c>
      <c r="K5" s="175" t="s">
        <v>985</v>
      </c>
      <c r="L5" s="178" t="s">
        <v>872</v>
      </c>
      <c r="M5" s="181" t="s">
        <v>862</v>
      </c>
      <c r="N5" s="182"/>
      <c r="O5" s="183"/>
      <c r="P5" s="183"/>
      <c r="Q5" s="183"/>
      <c r="R5" s="183"/>
      <c r="S5" s="183"/>
      <c r="T5" s="184" t="s">
        <v>862</v>
      </c>
      <c r="U5" s="178" t="s">
        <v>872</v>
      </c>
      <c r="V5" s="178" t="s">
        <v>882</v>
      </c>
      <c r="W5" s="168">
        <v>4</v>
      </c>
      <c r="Y5"/>
      <c r="Z5"/>
    </row>
    <row r="6" spans="1:26" ht="16.5" thickTop="1" thickBot="1" x14ac:dyDescent="0.3">
      <c r="A6" s="169">
        <v>5</v>
      </c>
      <c r="B6" s="170" t="s">
        <v>982</v>
      </c>
      <c r="C6" s="171" t="s">
        <v>982</v>
      </c>
      <c r="D6" s="171" t="s">
        <v>982</v>
      </c>
      <c r="E6" s="171" t="s">
        <v>982</v>
      </c>
      <c r="F6" s="185" t="s">
        <v>986</v>
      </c>
      <c r="G6" s="173" t="s">
        <v>983</v>
      </c>
      <c r="H6" s="173" t="s">
        <v>983</v>
      </c>
      <c r="I6" s="156" t="s">
        <v>856</v>
      </c>
      <c r="J6" s="174" t="s">
        <v>984</v>
      </c>
      <c r="K6" s="175" t="s">
        <v>985</v>
      </c>
      <c r="L6" s="178" t="s">
        <v>872</v>
      </c>
      <c r="M6" s="181" t="s">
        <v>862</v>
      </c>
      <c r="N6" s="186"/>
      <c r="O6" s="156"/>
      <c r="P6" s="156"/>
      <c r="Q6" s="156"/>
      <c r="R6" s="156"/>
      <c r="S6" s="156"/>
      <c r="T6" s="184" t="s">
        <v>862</v>
      </c>
      <c r="U6" s="178" t="s">
        <v>872</v>
      </c>
      <c r="V6" s="178" t="s">
        <v>882</v>
      </c>
      <c r="W6" s="168">
        <v>5</v>
      </c>
      <c r="Y6"/>
      <c r="Z6"/>
    </row>
    <row r="7" spans="1:26" ht="16.5" thickTop="1" thickBot="1" x14ac:dyDescent="0.3">
      <c r="A7" s="169">
        <v>6</v>
      </c>
      <c r="B7" s="170" t="s">
        <v>982</v>
      </c>
      <c r="C7" s="171" t="s">
        <v>982</v>
      </c>
      <c r="D7" s="171" t="s">
        <v>982</v>
      </c>
      <c r="E7" s="171" t="s">
        <v>982</v>
      </c>
      <c r="F7" s="187" t="s">
        <v>986</v>
      </c>
      <c r="G7" s="173" t="s">
        <v>983</v>
      </c>
      <c r="H7" s="173" t="s">
        <v>983</v>
      </c>
      <c r="I7" s="156" t="s">
        <v>856</v>
      </c>
      <c r="J7" s="174" t="s">
        <v>984</v>
      </c>
      <c r="K7" s="175" t="s">
        <v>985</v>
      </c>
      <c r="L7" s="178" t="s">
        <v>872</v>
      </c>
      <c r="M7" s="181" t="s">
        <v>862</v>
      </c>
      <c r="N7" s="186"/>
      <c r="O7" s="156"/>
      <c r="P7" s="156"/>
      <c r="Q7" s="156"/>
      <c r="R7" s="156"/>
      <c r="S7" s="156"/>
      <c r="T7" s="184" t="s">
        <v>862</v>
      </c>
      <c r="U7" s="178" t="s">
        <v>872</v>
      </c>
      <c r="V7" s="178" t="s">
        <v>882</v>
      </c>
      <c r="W7" s="168">
        <v>6</v>
      </c>
      <c r="Y7"/>
      <c r="Z7"/>
    </row>
    <row r="8" spans="1:26" ht="16.5" thickTop="1" thickBot="1" x14ac:dyDescent="0.3">
      <c r="A8" s="169">
        <v>7</v>
      </c>
      <c r="B8" s="170" t="s">
        <v>982</v>
      </c>
      <c r="C8" s="171" t="s">
        <v>982</v>
      </c>
      <c r="D8" s="171" t="s">
        <v>982</v>
      </c>
      <c r="E8" s="171" t="s">
        <v>982</v>
      </c>
      <c r="F8" s="187" t="s">
        <v>986</v>
      </c>
      <c r="G8" s="173" t="s">
        <v>983</v>
      </c>
      <c r="H8" s="173" t="s">
        <v>983</v>
      </c>
      <c r="I8" s="156" t="s">
        <v>856</v>
      </c>
      <c r="J8" s="174" t="s">
        <v>984</v>
      </c>
      <c r="K8" s="175" t="s">
        <v>985</v>
      </c>
      <c r="L8" s="178" t="s">
        <v>872</v>
      </c>
      <c r="M8" s="181" t="s">
        <v>862</v>
      </c>
      <c r="N8" s="186"/>
      <c r="O8" s="156"/>
      <c r="P8" s="156"/>
      <c r="Q8" s="156"/>
      <c r="R8" s="156"/>
      <c r="S8" s="156"/>
      <c r="T8" s="184" t="s">
        <v>862</v>
      </c>
      <c r="U8" s="178" t="s">
        <v>872</v>
      </c>
      <c r="V8" s="178" t="s">
        <v>882</v>
      </c>
      <c r="W8" s="168">
        <v>7</v>
      </c>
      <c r="Y8"/>
      <c r="Z8"/>
    </row>
    <row r="9" spans="1:26" ht="16.5" thickTop="1" thickBot="1" x14ac:dyDescent="0.3">
      <c r="A9" s="169">
        <v>8</v>
      </c>
      <c r="B9" s="170" t="s">
        <v>982</v>
      </c>
      <c r="C9" s="171" t="s">
        <v>982</v>
      </c>
      <c r="D9" s="171" t="s">
        <v>982</v>
      </c>
      <c r="E9" s="171" t="s">
        <v>982</v>
      </c>
      <c r="F9" s="187" t="s">
        <v>986</v>
      </c>
      <c r="G9" s="173" t="s">
        <v>983</v>
      </c>
      <c r="H9" s="173" t="s">
        <v>983</v>
      </c>
      <c r="I9" s="156" t="s">
        <v>856</v>
      </c>
      <c r="J9" s="174" t="s">
        <v>984</v>
      </c>
      <c r="K9" s="175" t="s">
        <v>985</v>
      </c>
      <c r="L9" s="178" t="s">
        <v>872</v>
      </c>
      <c r="M9" s="188" t="s">
        <v>862</v>
      </c>
      <c r="N9" s="189" t="s">
        <v>862</v>
      </c>
      <c r="O9" s="186"/>
      <c r="P9" s="156"/>
      <c r="Q9" s="156"/>
      <c r="R9" s="156"/>
      <c r="S9" s="156"/>
      <c r="T9" s="184" t="s">
        <v>862</v>
      </c>
      <c r="U9" s="178" t="s">
        <v>872</v>
      </c>
      <c r="V9" s="178" t="s">
        <v>882</v>
      </c>
      <c r="W9" s="168">
        <v>8</v>
      </c>
      <c r="Y9"/>
      <c r="Z9"/>
    </row>
    <row r="10" spans="1:26" ht="16.5" thickTop="1" thickBot="1" x14ac:dyDescent="0.3">
      <c r="A10" s="169">
        <v>9</v>
      </c>
      <c r="B10" s="170" t="s">
        <v>982</v>
      </c>
      <c r="C10" s="171" t="s">
        <v>982</v>
      </c>
      <c r="D10" s="171" t="s">
        <v>982</v>
      </c>
      <c r="E10" s="171" t="s">
        <v>982</v>
      </c>
      <c r="F10" s="190" t="s">
        <v>986</v>
      </c>
      <c r="G10" s="173" t="s">
        <v>983</v>
      </c>
      <c r="H10" s="173" t="s">
        <v>983</v>
      </c>
      <c r="I10" s="156" t="s">
        <v>856</v>
      </c>
      <c r="J10" s="174" t="s">
        <v>984</v>
      </c>
      <c r="K10" s="175" t="s">
        <v>985</v>
      </c>
      <c r="L10" s="156" t="s">
        <v>987</v>
      </c>
      <c r="M10" s="183"/>
      <c r="N10" s="184" t="s">
        <v>862</v>
      </c>
      <c r="O10" s="186"/>
      <c r="P10" s="156"/>
      <c r="Q10" s="156"/>
      <c r="R10" s="156"/>
      <c r="S10" s="156"/>
      <c r="T10" s="184" t="s">
        <v>862</v>
      </c>
      <c r="U10" s="178" t="s">
        <v>872</v>
      </c>
      <c r="V10" s="178" t="s">
        <v>882</v>
      </c>
      <c r="W10" s="168">
        <v>9</v>
      </c>
      <c r="Y10"/>
      <c r="Z10"/>
    </row>
    <row r="11" spans="1:26" ht="16.5" thickTop="1" thickBot="1" x14ac:dyDescent="0.3">
      <c r="A11" s="169">
        <v>10</v>
      </c>
      <c r="B11" s="170" t="s">
        <v>982</v>
      </c>
      <c r="C11" s="171" t="s">
        <v>982</v>
      </c>
      <c r="D11" s="171" t="s">
        <v>982</v>
      </c>
      <c r="E11" s="171" t="s">
        <v>982</v>
      </c>
      <c r="F11" s="187" t="s">
        <v>986</v>
      </c>
      <c r="G11" s="173" t="s">
        <v>983</v>
      </c>
      <c r="H11" s="173" t="s">
        <v>983</v>
      </c>
      <c r="I11" s="156" t="s">
        <v>856</v>
      </c>
      <c r="J11" s="174" t="s">
        <v>984</v>
      </c>
      <c r="K11" s="175" t="s">
        <v>985</v>
      </c>
      <c r="L11" s="156" t="s">
        <v>987</v>
      </c>
      <c r="M11" s="156"/>
      <c r="N11" s="184" t="s">
        <v>862</v>
      </c>
      <c r="O11" s="186"/>
      <c r="P11" s="156"/>
      <c r="Q11" s="156"/>
      <c r="R11" s="156"/>
      <c r="S11" s="156"/>
      <c r="T11" s="184" t="s">
        <v>862</v>
      </c>
      <c r="U11" s="178" t="s">
        <v>872</v>
      </c>
      <c r="V11" s="178" t="s">
        <v>882</v>
      </c>
      <c r="W11" s="168">
        <v>10</v>
      </c>
      <c r="Y11"/>
      <c r="Z11"/>
    </row>
    <row r="12" spans="1:26" ht="16.5" thickTop="1" thickBot="1" x14ac:dyDescent="0.3">
      <c r="A12" s="169">
        <v>11</v>
      </c>
      <c r="B12" s="170" t="s">
        <v>982</v>
      </c>
      <c r="C12" s="171" t="s">
        <v>982</v>
      </c>
      <c r="D12" s="171" t="s">
        <v>982</v>
      </c>
      <c r="E12" s="171" t="s">
        <v>982</v>
      </c>
      <c r="F12" s="191" t="s">
        <v>988</v>
      </c>
      <c r="G12" s="173" t="s">
        <v>983</v>
      </c>
      <c r="H12" s="173" t="s">
        <v>983</v>
      </c>
      <c r="I12" s="156" t="s">
        <v>856</v>
      </c>
      <c r="J12" s="174" t="s">
        <v>984</v>
      </c>
      <c r="K12" s="175" t="s">
        <v>985</v>
      </c>
      <c r="L12" s="156" t="s">
        <v>987</v>
      </c>
      <c r="M12" s="156"/>
      <c r="N12" s="184" t="s">
        <v>862</v>
      </c>
      <c r="O12" s="186"/>
      <c r="P12" s="156"/>
      <c r="Q12" s="156"/>
      <c r="R12" s="156"/>
      <c r="S12" s="156"/>
      <c r="T12" s="184" t="s">
        <v>862</v>
      </c>
      <c r="U12" s="178" t="s">
        <v>872</v>
      </c>
      <c r="V12" s="178" t="s">
        <v>882</v>
      </c>
      <c r="W12" s="168">
        <v>11</v>
      </c>
      <c r="Y12"/>
      <c r="Z12"/>
    </row>
    <row r="13" spans="1:26" ht="16.5" thickTop="1" thickBot="1" x14ac:dyDescent="0.3">
      <c r="A13" s="169">
        <v>12</v>
      </c>
      <c r="B13" s="170" t="s">
        <v>982</v>
      </c>
      <c r="C13" s="171" t="s">
        <v>982</v>
      </c>
      <c r="D13" s="171" t="s">
        <v>982</v>
      </c>
      <c r="E13" s="171" t="s">
        <v>982</v>
      </c>
      <c r="F13" s="191" t="s">
        <v>988</v>
      </c>
      <c r="G13" s="173" t="s">
        <v>983</v>
      </c>
      <c r="H13" s="173" t="s">
        <v>983</v>
      </c>
      <c r="I13" s="156" t="s">
        <v>856</v>
      </c>
      <c r="J13" s="174" t="s">
        <v>984</v>
      </c>
      <c r="K13" s="175" t="s">
        <v>985</v>
      </c>
      <c r="L13" s="192" t="s">
        <v>868</v>
      </c>
      <c r="M13" s="193" t="s">
        <v>862</v>
      </c>
      <c r="N13" s="194" t="s">
        <v>862</v>
      </c>
      <c r="O13" s="195" t="s">
        <v>862</v>
      </c>
      <c r="P13" s="189" t="s">
        <v>862</v>
      </c>
      <c r="Q13" s="186"/>
      <c r="R13" s="156"/>
      <c r="S13" s="156"/>
      <c r="T13" s="184" t="s">
        <v>862</v>
      </c>
      <c r="U13" s="178" t="s">
        <v>872</v>
      </c>
      <c r="V13" s="178" t="s">
        <v>882</v>
      </c>
      <c r="W13" s="168">
        <v>12</v>
      </c>
      <c r="Y13"/>
      <c r="Z13"/>
    </row>
    <row r="14" spans="1:26" ht="16.5" thickTop="1" thickBot="1" x14ac:dyDescent="0.3">
      <c r="A14" s="169">
        <v>13</v>
      </c>
      <c r="B14" s="170" t="s">
        <v>982</v>
      </c>
      <c r="C14" s="171" t="s">
        <v>982</v>
      </c>
      <c r="D14" s="171" t="s">
        <v>982</v>
      </c>
      <c r="E14" s="171" t="s">
        <v>982</v>
      </c>
      <c r="F14" s="191" t="s">
        <v>988</v>
      </c>
      <c r="G14" s="173" t="s">
        <v>983</v>
      </c>
      <c r="H14" s="173" t="s">
        <v>983</v>
      </c>
      <c r="I14" s="156" t="s">
        <v>856</v>
      </c>
      <c r="J14" s="174" t="s">
        <v>984</v>
      </c>
      <c r="K14" s="175" t="s">
        <v>985</v>
      </c>
      <c r="L14" s="196" t="s">
        <v>868</v>
      </c>
      <c r="M14" s="197" t="s">
        <v>897</v>
      </c>
      <c r="N14" s="166" t="s">
        <v>897</v>
      </c>
      <c r="O14" s="166" t="s">
        <v>897</v>
      </c>
      <c r="P14" s="184" t="s">
        <v>862</v>
      </c>
      <c r="Q14" s="186"/>
      <c r="R14" s="156"/>
      <c r="S14" s="156"/>
      <c r="T14" s="184" t="s">
        <v>862</v>
      </c>
      <c r="U14" s="178" t="s">
        <v>872</v>
      </c>
      <c r="V14" s="178" t="s">
        <v>882</v>
      </c>
      <c r="W14" s="168">
        <v>13</v>
      </c>
      <c r="Y14"/>
      <c r="Z14"/>
    </row>
    <row r="15" spans="1:26" ht="16.5" thickTop="1" thickBot="1" x14ac:dyDescent="0.3">
      <c r="A15" s="169">
        <v>14</v>
      </c>
      <c r="B15" s="170" t="s">
        <v>982</v>
      </c>
      <c r="C15" s="171" t="s">
        <v>982</v>
      </c>
      <c r="D15" s="171" t="s">
        <v>982</v>
      </c>
      <c r="E15" s="171" t="s">
        <v>982</v>
      </c>
      <c r="F15" s="198" t="s">
        <v>989</v>
      </c>
      <c r="G15" s="173" t="s">
        <v>983</v>
      </c>
      <c r="H15" s="199" t="s">
        <v>990</v>
      </c>
      <c r="I15" s="156" t="s">
        <v>856</v>
      </c>
      <c r="J15" s="174" t="s">
        <v>984</v>
      </c>
      <c r="K15" s="167" t="s">
        <v>835</v>
      </c>
      <c r="L15" s="196" t="s">
        <v>868</v>
      </c>
      <c r="M15" s="196" t="s">
        <v>897</v>
      </c>
      <c r="N15" s="167" t="s">
        <v>897</v>
      </c>
      <c r="O15" s="167" t="s">
        <v>897</v>
      </c>
      <c r="P15" s="184" t="s">
        <v>862</v>
      </c>
      <c r="Q15" s="189" t="s">
        <v>862</v>
      </c>
      <c r="R15" s="189" t="s">
        <v>862</v>
      </c>
      <c r="S15" s="189" t="s">
        <v>862</v>
      </c>
      <c r="T15" s="194" t="s">
        <v>862</v>
      </c>
      <c r="U15" s="178" t="s">
        <v>872</v>
      </c>
      <c r="V15" s="178" t="s">
        <v>882</v>
      </c>
      <c r="W15" s="168">
        <v>14</v>
      </c>
      <c r="Y15"/>
      <c r="Z15"/>
    </row>
    <row r="16" spans="1:26" ht="16.5" thickTop="1" thickBot="1" x14ac:dyDescent="0.3">
      <c r="A16" s="169">
        <v>15</v>
      </c>
      <c r="B16" s="170" t="s">
        <v>982</v>
      </c>
      <c r="C16" s="171" t="s">
        <v>982</v>
      </c>
      <c r="D16" s="171" t="s">
        <v>982</v>
      </c>
      <c r="E16" s="171" t="s">
        <v>982</v>
      </c>
      <c r="F16" s="198" t="s">
        <v>989</v>
      </c>
      <c r="G16" s="173" t="s">
        <v>983</v>
      </c>
      <c r="H16" s="199" t="s">
        <v>990</v>
      </c>
      <c r="I16" s="200" t="s">
        <v>984</v>
      </c>
      <c r="J16" s="201" t="s">
        <v>984</v>
      </c>
      <c r="K16" s="175" t="s">
        <v>985</v>
      </c>
      <c r="L16" s="196" t="s">
        <v>868</v>
      </c>
      <c r="M16" s="177" t="s">
        <v>872</v>
      </c>
      <c r="N16" s="177" t="s">
        <v>872</v>
      </c>
      <c r="O16" s="177" t="s">
        <v>872</v>
      </c>
      <c r="P16" s="177" t="s">
        <v>872</v>
      </c>
      <c r="Q16" s="177" t="s">
        <v>872</v>
      </c>
      <c r="R16" s="177" t="s">
        <v>872</v>
      </c>
      <c r="S16" s="177" t="s">
        <v>872</v>
      </c>
      <c r="T16" s="177" t="s">
        <v>872</v>
      </c>
      <c r="U16" s="167" t="s">
        <v>872</v>
      </c>
      <c r="V16" s="178" t="s">
        <v>882</v>
      </c>
      <c r="W16" s="168">
        <v>15</v>
      </c>
      <c r="Y16"/>
      <c r="Z16"/>
    </row>
    <row r="17" spans="1:26" ht="15.75" thickTop="1" x14ac:dyDescent="0.25">
      <c r="A17" s="169">
        <v>16</v>
      </c>
      <c r="B17" s="202" t="s">
        <v>982</v>
      </c>
      <c r="C17" s="203" t="s">
        <v>982</v>
      </c>
      <c r="D17" s="203" t="s">
        <v>982</v>
      </c>
      <c r="E17" s="204" t="s">
        <v>982</v>
      </c>
      <c r="F17" s="198" t="s">
        <v>989</v>
      </c>
      <c r="G17" s="173" t="s">
        <v>983</v>
      </c>
      <c r="H17" s="199" t="s">
        <v>990</v>
      </c>
      <c r="I17" s="201" t="s">
        <v>984</v>
      </c>
      <c r="J17" s="201" t="s">
        <v>984</v>
      </c>
      <c r="K17" s="175" t="s">
        <v>985</v>
      </c>
      <c r="L17" s="196" t="s">
        <v>868</v>
      </c>
      <c r="M17" s="205" t="s">
        <v>911</v>
      </c>
      <c r="N17" s="206" t="s">
        <v>911</v>
      </c>
      <c r="O17" s="206" t="s">
        <v>911</v>
      </c>
      <c r="P17" s="206" t="s">
        <v>911</v>
      </c>
      <c r="Q17" s="207" t="s">
        <v>917</v>
      </c>
      <c r="R17" s="184">
        <v>6</v>
      </c>
      <c r="S17" s="194">
        <v>7</v>
      </c>
      <c r="T17" s="194">
        <v>8</v>
      </c>
      <c r="U17" s="194">
        <v>9</v>
      </c>
      <c r="V17" s="208" t="s">
        <v>882</v>
      </c>
      <c r="W17" s="168">
        <v>16</v>
      </c>
      <c r="Y17"/>
      <c r="Z17"/>
    </row>
    <row r="18" spans="1:26" x14ac:dyDescent="0.25">
      <c r="A18" s="169">
        <v>17</v>
      </c>
      <c r="B18" s="170" t="s">
        <v>982</v>
      </c>
      <c r="C18" s="171" t="s">
        <v>982</v>
      </c>
      <c r="D18" s="171" t="s">
        <v>982</v>
      </c>
      <c r="E18" s="204" t="s">
        <v>982</v>
      </c>
      <c r="F18" s="198" t="s">
        <v>989</v>
      </c>
      <c r="G18" s="173" t="s">
        <v>983</v>
      </c>
      <c r="H18" s="199" t="s">
        <v>990</v>
      </c>
      <c r="I18" s="201" t="s">
        <v>984</v>
      </c>
      <c r="J18" s="201" t="s">
        <v>984</v>
      </c>
      <c r="K18" s="175" t="s">
        <v>985</v>
      </c>
      <c r="L18" s="196" t="s">
        <v>868</v>
      </c>
      <c r="M18" s="209" t="s">
        <v>911</v>
      </c>
      <c r="N18" s="167" t="s">
        <v>911</v>
      </c>
      <c r="O18" s="167" t="s">
        <v>911</v>
      </c>
      <c r="P18" s="167" t="s">
        <v>911</v>
      </c>
      <c r="Q18" s="209" t="s">
        <v>860</v>
      </c>
      <c r="R18" s="184">
        <v>2</v>
      </c>
      <c r="S18" s="194">
        <v>3</v>
      </c>
      <c r="T18" s="194">
        <v>4</v>
      </c>
      <c r="U18" s="194">
        <v>5</v>
      </c>
      <c r="V18" s="208" t="s">
        <v>882</v>
      </c>
      <c r="W18" s="168">
        <v>17</v>
      </c>
    </row>
    <row r="19" spans="1:26" ht="15.75" thickBot="1" x14ac:dyDescent="0.3">
      <c r="A19" s="169">
        <v>18</v>
      </c>
      <c r="B19" s="170" t="s">
        <v>982</v>
      </c>
      <c r="C19" s="171" t="s">
        <v>982</v>
      </c>
      <c r="D19" s="171" t="s">
        <v>982</v>
      </c>
      <c r="E19" s="204" t="s">
        <v>982</v>
      </c>
      <c r="F19" s="198" t="s">
        <v>989</v>
      </c>
      <c r="G19" s="173" t="s">
        <v>983</v>
      </c>
      <c r="H19" s="199" t="s">
        <v>990</v>
      </c>
      <c r="I19" s="201" t="s">
        <v>984</v>
      </c>
      <c r="J19" s="201" t="s">
        <v>984</v>
      </c>
      <c r="K19" s="175" t="s">
        <v>985</v>
      </c>
      <c r="L19" s="196" t="s">
        <v>868</v>
      </c>
      <c r="M19" s="209" t="s">
        <v>911</v>
      </c>
      <c r="N19" s="167" t="s">
        <v>911</v>
      </c>
      <c r="O19" s="167" t="s">
        <v>911</v>
      </c>
      <c r="P19" s="167" t="s">
        <v>911</v>
      </c>
      <c r="Q19" s="209" t="s">
        <v>893</v>
      </c>
      <c r="R19" s="184">
        <v>0</v>
      </c>
      <c r="S19" s="194">
        <v>1</v>
      </c>
      <c r="T19" s="210" t="s">
        <v>868</v>
      </c>
      <c r="U19" s="211" t="s">
        <v>872</v>
      </c>
      <c r="V19" s="178" t="s">
        <v>882</v>
      </c>
      <c r="W19" s="168">
        <v>18</v>
      </c>
    </row>
    <row r="20" spans="1:26" ht="16.5" thickTop="1" thickBot="1" x14ac:dyDescent="0.3">
      <c r="A20" s="169">
        <v>19</v>
      </c>
      <c r="B20" s="186"/>
      <c r="C20" s="212" t="s">
        <v>872</v>
      </c>
      <c r="D20" s="166" t="s">
        <v>872</v>
      </c>
      <c r="E20" s="166" t="s">
        <v>872</v>
      </c>
      <c r="F20" s="213" t="s">
        <v>872</v>
      </c>
      <c r="G20" s="214" t="s">
        <v>872</v>
      </c>
      <c r="H20" s="167" t="s">
        <v>911</v>
      </c>
      <c r="I20" s="167" t="s">
        <v>913</v>
      </c>
      <c r="J20" s="167" t="s">
        <v>911</v>
      </c>
      <c r="K20" s="215" t="s">
        <v>911</v>
      </c>
      <c r="L20" s="167" t="s">
        <v>868</v>
      </c>
      <c r="M20" s="216" t="s">
        <v>911</v>
      </c>
      <c r="N20" s="217" t="s">
        <v>911</v>
      </c>
      <c r="O20" s="218" t="s">
        <v>907</v>
      </c>
      <c r="P20" s="206" t="s">
        <v>907</v>
      </c>
      <c r="Q20" s="167" t="s">
        <v>840</v>
      </c>
      <c r="R20" s="219" t="s">
        <v>993</v>
      </c>
      <c r="S20" s="220" t="s">
        <v>993</v>
      </c>
      <c r="T20" s="167" t="s">
        <v>872</v>
      </c>
      <c r="U20" s="221" t="s">
        <v>991</v>
      </c>
      <c r="V20" s="178" t="s">
        <v>882</v>
      </c>
      <c r="W20" s="168">
        <v>19</v>
      </c>
    </row>
    <row r="21" spans="1:26" ht="16.5" thickTop="1" thickBot="1" x14ac:dyDescent="0.3">
      <c r="A21" s="169">
        <v>20</v>
      </c>
      <c r="B21" s="186"/>
      <c r="C21" s="222" t="s">
        <v>864</v>
      </c>
      <c r="D21" s="223" t="s">
        <v>864</v>
      </c>
      <c r="E21" s="223" t="s">
        <v>864</v>
      </c>
      <c r="F21" s="224" t="s">
        <v>864</v>
      </c>
      <c r="G21" s="225" t="s">
        <v>992</v>
      </c>
      <c r="H21" s="196" t="s">
        <v>878</v>
      </c>
      <c r="I21" s="167" t="s">
        <v>911</v>
      </c>
      <c r="J21" s="167" t="s">
        <v>911</v>
      </c>
      <c r="K21" s="226" t="s">
        <v>911</v>
      </c>
      <c r="L21" s="167" t="s">
        <v>911</v>
      </c>
      <c r="M21" s="227" t="s">
        <v>842</v>
      </c>
      <c r="N21" s="228" t="s">
        <v>911</v>
      </c>
      <c r="O21" s="192" t="s">
        <v>911</v>
      </c>
      <c r="P21" s="166" t="s">
        <v>911</v>
      </c>
      <c r="Q21" s="229" t="s">
        <v>993</v>
      </c>
      <c r="R21" s="112" t="s">
        <v>993</v>
      </c>
      <c r="S21" s="167" t="s">
        <v>993</v>
      </c>
      <c r="T21" s="167" t="s">
        <v>872</v>
      </c>
      <c r="U21" s="230" t="s">
        <v>991</v>
      </c>
      <c r="V21" s="178" t="s">
        <v>882</v>
      </c>
      <c r="W21" s="168">
        <v>20</v>
      </c>
    </row>
    <row r="22" spans="1:26" ht="16.5" thickTop="1" thickBot="1" x14ac:dyDescent="0.3">
      <c r="A22" s="169">
        <v>21</v>
      </c>
      <c r="B22" s="186"/>
      <c r="C22" s="231" t="s">
        <v>864</v>
      </c>
      <c r="D22" s="232" t="s">
        <v>864</v>
      </c>
      <c r="E22" s="232" t="s">
        <v>864</v>
      </c>
      <c r="F22" s="232" t="s">
        <v>864</v>
      </c>
      <c r="G22" s="233" t="s">
        <v>992</v>
      </c>
      <c r="H22" s="196" t="s">
        <v>909</v>
      </c>
      <c r="I22" s="167" t="s">
        <v>911</v>
      </c>
      <c r="J22" s="167" t="s">
        <v>911</v>
      </c>
      <c r="K22" s="167" t="s">
        <v>911</v>
      </c>
      <c r="L22" s="167" t="s">
        <v>911</v>
      </c>
      <c r="M22" s="234" t="s">
        <v>891</v>
      </c>
      <c r="N22" s="197" t="s">
        <v>911</v>
      </c>
      <c r="O22" s="167" t="s">
        <v>868</v>
      </c>
      <c r="P22" s="167" t="s">
        <v>868</v>
      </c>
      <c r="Q22" s="167" t="s">
        <v>868</v>
      </c>
      <c r="R22" s="167" t="s">
        <v>868</v>
      </c>
      <c r="S22" s="167" t="s">
        <v>868</v>
      </c>
      <c r="T22" s="177" t="s">
        <v>868</v>
      </c>
      <c r="U22" s="167" t="s">
        <v>868</v>
      </c>
      <c r="V22" s="167" t="s">
        <v>911</v>
      </c>
      <c r="W22" s="168">
        <v>21</v>
      </c>
    </row>
    <row r="23" spans="1:26" ht="16.5" thickTop="1" thickBot="1" x14ac:dyDescent="0.3">
      <c r="A23" s="169">
        <v>22</v>
      </c>
      <c r="B23" s="235" t="s">
        <v>911</v>
      </c>
      <c r="C23" s="236" t="s">
        <v>911</v>
      </c>
      <c r="D23" s="236" t="s">
        <v>911</v>
      </c>
      <c r="E23" s="236" t="s">
        <v>911</v>
      </c>
      <c r="F23" s="236" t="s">
        <v>911</v>
      </c>
      <c r="G23" s="236" t="s">
        <v>911</v>
      </c>
      <c r="H23" s="237" t="s">
        <v>911</v>
      </c>
      <c r="I23" s="167" t="s">
        <v>911</v>
      </c>
      <c r="J23" s="167" t="s">
        <v>911</v>
      </c>
      <c r="K23" s="238" t="s">
        <v>911</v>
      </c>
      <c r="L23" s="239" t="s">
        <v>911</v>
      </c>
      <c r="M23" s="166" t="s">
        <v>911</v>
      </c>
      <c r="N23" s="167" t="s">
        <v>911</v>
      </c>
      <c r="O23" s="240" t="s">
        <v>911</v>
      </c>
      <c r="P23" s="167" t="s">
        <v>911</v>
      </c>
      <c r="Q23" s="167" t="s">
        <v>911</v>
      </c>
      <c r="R23" s="167" t="s">
        <v>911</v>
      </c>
      <c r="S23" s="167" t="s">
        <v>911</v>
      </c>
      <c r="T23" s="167" t="s">
        <v>911</v>
      </c>
      <c r="U23" s="167" t="s">
        <v>911</v>
      </c>
      <c r="V23" s="241" t="s">
        <v>911</v>
      </c>
      <c r="W23" s="242">
        <v>22</v>
      </c>
    </row>
    <row r="24" spans="1:26" ht="16.5" thickTop="1" thickBot="1" x14ac:dyDescent="0.3">
      <c r="A24" s="243" t="s">
        <v>972</v>
      </c>
      <c r="B24" s="244">
        <v>1</v>
      </c>
      <c r="C24" s="245">
        <v>2</v>
      </c>
      <c r="D24" s="245">
        <v>3</v>
      </c>
      <c r="E24" s="245">
        <v>4</v>
      </c>
      <c r="F24" s="245">
        <v>5</v>
      </c>
      <c r="G24" s="245">
        <v>6</v>
      </c>
      <c r="H24" s="245">
        <v>7</v>
      </c>
      <c r="I24" s="245">
        <v>8</v>
      </c>
      <c r="J24" s="245">
        <v>9</v>
      </c>
      <c r="K24" s="245">
        <v>10</v>
      </c>
      <c r="L24" s="246">
        <v>11</v>
      </c>
      <c r="M24" s="245">
        <v>12</v>
      </c>
      <c r="N24" s="245">
        <v>13</v>
      </c>
      <c r="O24" s="247">
        <v>14</v>
      </c>
      <c r="P24" s="245">
        <v>15</v>
      </c>
      <c r="Q24" s="245">
        <v>16</v>
      </c>
      <c r="R24" s="245">
        <v>17</v>
      </c>
      <c r="S24" s="245">
        <v>18</v>
      </c>
      <c r="T24" s="245">
        <v>19</v>
      </c>
      <c r="U24" s="245">
        <v>20</v>
      </c>
      <c r="V24" s="245">
        <v>21</v>
      </c>
      <c r="W24" s="248" t="s">
        <v>972</v>
      </c>
    </row>
    <row r="25" spans="1:26" ht="15.75" thickTop="1" x14ac:dyDescent="0.25">
      <c r="I25" s="73"/>
      <c r="L25" s="73"/>
      <c r="O25" s="73"/>
    </row>
    <row r="26" spans="1:26" x14ac:dyDescent="0.25">
      <c r="I26" s="110" t="s">
        <v>994</v>
      </c>
      <c r="J26" s="111"/>
      <c r="K26" s="111"/>
      <c r="L26" s="111"/>
      <c r="M26" s="111"/>
      <c r="N26" s="111"/>
      <c r="O26" s="111"/>
    </row>
  </sheetData>
  <mergeCells count="1">
    <mergeCell ref="I26:O26"/>
  </mergeCells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232AE-1D50-47A8-9185-E8493E1B265A}">
  <sheetPr codeName="Sheet15"/>
  <dimension ref="A1:W26"/>
  <sheetViews>
    <sheetView workbookViewId="0"/>
  </sheetViews>
  <sheetFormatPr defaultRowHeight="15" x14ac:dyDescent="0.25"/>
  <cols>
    <col min="1" max="1" width="5.85546875" style="24" customWidth="1"/>
    <col min="2" max="4" width="4.42578125" style="24" bestFit="1" customWidth="1"/>
    <col min="5" max="5" width="6.140625" style="24" customWidth="1"/>
    <col min="6" max="6" width="5.42578125" style="24" customWidth="1"/>
    <col min="7" max="7" width="6" style="24" customWidth="1"/>
    <col min="8" max="9" width="4.42578125" style="24" bestFit="1" customWidth="1"/>
    <col min="10" max="10" width="4.140625" style="24" customWidth="1"/>
    <col min="11" max="22" width="5.140625" style="24" customWidth="1"/>
    <col min="23" max="23" width="5.7109375" style="24" customWidth="1"/>
  </cols>
  <sheetData>
    <row r="1" spans="1:23" ht="16.5" thickTop="1" thickBot="1" x14ac:dyDescent="0.3">
      <c r="A1" s="156" t="s">
        <v>972</v>
      </c>
      <c r="B1" s="98" t="s">
        <v>276</v>
      </c>
      <c r="C1" s="99" t="s">
        <v>973</v>
      </c>
      <c r="D1" s="99" t="s">
        <v>362</v>
      </c>
      <c r="E1" s="99" t="s">
        <v>310</v>
      </c>
      <c r="F1" s="99" t="s">
        <v>974</v>
      </c>
      <c r="G1" s="99" t="s">
        <v>355</v>
      </c>
      <c r="H1" s="99" t="s">
        <v>363</v>
      </c>
      <c r="I1" s="99" t="s">
        <v>371</v>
      </c>
      <c r="J1" s="99" t="s">
        <v>229</v>
      </c>
      <c r="K1" s="99" t="s">
        <v>289</v>
      </c>
      <c r="L1" s="99" t="s">
        <v>230</v>
      </c>
      <c r="M1" s="99" t="s">
        <v>290</v>
      </c>
      <c r="N1" s="99" t="s">
        <v>376</v>
      </c>
      <c r="O1" s="99" t="s">
        <v>296</v>
      </c>
      <c r="P1" s="99" t="s">
        <v>975</v>
      </c>
      <c r="Q1" s="99" t="s">
        <v>976</v>
      </c>
      <c r="R1" s="99" t="s">
        <v>329</v>
      </c>
      <c r="S1" s="99" t="s">
        <v>977</v>
      </c>
      <c r="T1" s="99" t="s">
        <v>978</v>
      </c>
      <c r="U1" s="99" t="s">
        <v>979</v>
      </c>
      <c r="V1" s="99" t="s">
        <v>980</v>
      </c>
      <c r="W1" s="157" t="s">
        <v>981</v>
      </c>
    </row>
    <row r="2" spans="1:23" ht="16.5" thickTop="1" thickBot="1" x14ac:dyDescent="0.3">
      <c r="A2" s="158">
        <v>1</v>
      </c>
      <c r="B2" s="167" t="s">
        <v>882</v>
      </c>
      <c r="C2" s="167" t="s">
        <v>882</v>
      </c>
      <c r="D2" s="167" t="s">
        <v>882</v>
      </c>
      <c r="E2" s="167" t="s">
        <v>882</v>
      </c>
      <c r="F2" s="167" t="s">
        <v>882</v>
      </c>
      <c r="G2" s="167" t="s">
        <v>882</v>
      </c>
      <c r="H2" s="167" t="s">
        <v>882</v>
      </c>
      <c r="I2" s="167" t="s">
        <v>882</v>
      </c>
      <c r="J2" s="167" t="s">
        <v>882</v>
      </c>
      <c r="K2" s="167" t="s">
        <v>882</v>
      </c>
      <c r="L2" s="167" t="s">
        <v>882</v>
      </c>
      <c r="M2" s="167" t="s">
        <v>882</v>
      </c>
      <c r="N2" s="167" t="s">
        <v>882</v>
      </c>
      <c r="O2" s="167" t="s">
        <v>882</v>
      </c>
      <c r="P2" s="167" t="s">
        <v>882</v>
      </c>
      <c r="Q2" s="167" t="s">
        <v>882</v>
      </c>
      <c r="R2" s="167" t="s">
        <v>882</v>
      </c>
      <c r="S2" s="167" t="s">
        <v>882</v>
      </c>
      <c r="T2" s="167" t="s">
        <v>882</v>
      </c>
      <c r="U2" s="167" t="s">
        <v>882</v>
      </c>
      <c r="V2" s="167" t="s">
        <v>882</v>
      </c>
      <c r="W2" s="249">
        <v>1</v>
      </c>
    </row>
    <row r="3" spans="1:23" ht="16.5" thickTop="1" thickBot="1" x14ac:dyDescent="0.3">
      <c r="A3" s="169">
        <v>2</v>
      </c>
      <c r="B3" s="167" t="s">
        <v>882</v>
      </c>
      <c r="C3" s="197" t="s">
        <v>872</v>
      </c>
      <c r="D3" s="166" t="s">
        <v>872</v>
      </c>
      <c r="E3" s="166" t="s">
        <v>872</v>
      </c>
      <c r="F3" s="166" t="s">
        <v>872</v>
      </c>
      <c r="G3" s="166" t="s">
        <v>872</v>
      </c>
      <c r="H3" s="166" t="s">
        <v>872</v>
      </c>
      <c r="I3" s="166" t="s">
        <v>872</v>
      </c>
      <c r="J3" s="166" t="s">
        <v>872</v>
      </c>
      <c r="K3" s="166" t="s">
        <v>872</v>
      </c>
      <c r="L3" s="166" t="s">
        <v>872</v>
      </c>
      <c r="M3" s="166" t="s">
        <v>872</v>
      </c>
      <c r="N3" s="166" t="s">
        <v>872</v>
      </c>
      <c r="O3" s="166" t="s">
        <v>872</v>
      </c>
      <c r="P3" s="166" t="s">
        <v>872</v>
      </c>
      <c r="Q3" s="166" t="s">
        <v>872</v>
      </c>
      <c r="R3" s="166" t="s">
        <v>872</v>
      </c>
      <c r="S3" s="166" t="s">
        <v>872</v>
      </c>
      <c r="T3" s="166" t="s">
        <v>872</v>
      </c>
      <c r="U3" s="166" t="s">
        <v>872</v>
      </c>
      <c r="V3" s="196" t="s">
        <v>882</v>
      </c>
      <c r="W3" s="250">
        <v>2</v>
      </c>
    </row>
    <row r="4" spans="1:23" ht="15.75" thickTop="1" x14ac:dyDescent="0.25">
      <c r="A4" s="169">
        <v>3</v>
      </c>
      <c r="B4" s="167" t="s">
        <v>882</v>
      </c>
      <c r="C4" s="196" t="s">
        <v>872</v>
      </c>
      <c r="D4" s="197"/>
      <c r="E4" s="166"/>
      <c r="F4" s="166"/>
      <c r="G4" s="166"/>
      <c r="H4" s="166"/>
      <c r="I4" s="166"/>
      <c r="J4" s="166"/>
      <c r="K4" s="166"/>
      <c r="L4" s="166"/>
      <c r="M4" s="166"/>
      <c r="N4" s="166"/>
      <c r="O4" s="166"/>
      <c r="P4" s="166"/>
      <c r="Q4" s="166"/>
      <c r="R4" s="166"/>
      <c r="S4" s="166"/>
      <c r="T4" s="166"/>
      <c r="U4" s="196" t="s">
        <v>872</v>
      </c>
      <c r="V4" s="196" t="s">
        <v>882</v>
      </c>
      <c r="W4" s="250">
        <v>3</v>
      </c>
    </row>
    <row r="5" spans="1:23" x14ac:dyDescent="0.25">
      <c r="A5" s="169">
        <v>4</v>
      </c>
      <c r="B5" s="167" t="s">
        <v>882</v>
      </c>
      <c r="C5" s="196" t="s">
        <v>872</v>
      </c>
      <c r="D5" s="196"/>
      <c r="E5" s="167"/>
      <c r="F5" s="167"/>
      <c r="G5" s="167"/>
      <c r="H5" s="167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96" t="s">
        <v>872</v>
      </c>
      <c r="V5" s="196" t="s">
        <v>882</v>
      </c>
      <c r="W5" s="250">
        <v>4</v>
      </c>
    </row>
    <row r="6" spans="1:23" x14ac:dyDescent="0.25">
      <c r="A6" s="169">
        <v>5</v>
      </c>
      <c r="B6" s="167" t="s">
        <v>882</v>
      </c>
      <c r="C6" s="196" t="s">
        <v>872</v>
      </c>
      <c r="D6" s="196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96" t="s">
        <v>872</v>
      </c>
      <c r="V6" s="196" t="s">
        <v>882</v>
      </c>
      <c r="W6" s="250">
        <v>5</v>
      </c>
    </row>
    <row r="7" spans="1:23" x14ac:dyDescent="0.25">
      <c r="A7" s="169">
        <v>6</v>
      </c>
      <c r="B7" s="167" t="s">
        <v>882</v>
      </c>
      <c r="C7" s="196" t="s">
        <v>872</v>
      </c>
      <c r="D7" s="196"/>
      <c r="E7" s="167"/>
      <c r="F7" s="167"/>
      <c r="G7" s="167"/>
      <c r="H7" s="167"/>
      <c r="I7" s="167"/>
      <c r="J7" s="167"/>
      <c r="K7" s="167"/>
      <c r="L7" s="167"/>
      <c r="M7" s="167"/>
      <c r="N7" s="167"/>
      <c r="O7" s="167"/>
      <c r="P7" s="167"/>
      <c r="Q7" s="167"/>
      <c r="R7" s="167"/>
      <c r="S7" s="167"/>
      <c r="T7" s="167"/>
      <c r="U7" s="196" t="s">
        <v>872</v>
      </c>
      <c r="V7" s="196" t="s">
        <v>882</v>
      </c>
      <c r="W7" s="250">
        <v>6</v>
      </c>
    </row>
    <row r="8" spans="1:23" x14ac:dyDescent="0.25">
      <c r="A8" s="169">
        <v>7</v>
      </c>
      <c r="B8" s="167" t="s">
        <v>882</v>
      </c>
      <c r="C8" s="196" t="s">
        <v>872</v>
      </c>
      <c r="D8" s="196"/>
      <c r="E8" s="167"/>
      <c r="F8" s="167"/>
      <c r="G8" s="167"/>
      <c r="H8" s="167"/>
      <c r="I8" s="167"/>
      <c r="J8" s="167"/>
      <c r="K8" s="167"/>
      <c r="L8" s="167"/>
      <c r="M8" s="167"/>
      <c r="N8" s="167"/>
      <c r="O8" s="167"/>
      <c r="P8" s="167"/>
      <c r="Q8" s="167"/>
      <c r="R8" s="167"/>
      <c r="S8" s="167"/>
      <c r="T8" s="167"/>
      <c r="U8" s="196" t="s">
        <v>872</v>
      </c>
      <c r="V8" s="196" t="s">
        <v>882</v>
      </c>
      <c r="W8" s="250">
        <v>7</v>
      </c>
    </row>
    <row r="9" spans="1:23" x14ac:dyDescent="0.25">
      <c r="A9" s="169">
        <v>8</v>
      </c>
      <c r="B9" s="167" t="s">
        <v>882</v>
      </c>
      <c r="C9" s="196" t="s">
        <v>872</v>
      </c>
      <c r="D9" s="196"/>
      <c r="E9" s="167"/>
      <c r="F9" s="167"/>
      <c r="G9" s="167"/>
      <c r="H9" s="167"/>
      <c r="I9" s="167"/>
      <c r="J9" s="167"/>
      <c r="K9" s="167"/>
      <c r="L9" s="167"/>
      <c r="M9" s="167"/>
      <c r="N9" s="167"/>
      <c r="O9" s="167"/>
      <c r="P9" s="167"/>
      <c r="Q9" s="167"/>
      <c r="R9" s="167"/>
      <c r="S9" s="167"/>
      <c r="T9" s="167"/>
      <c r="U9" s="196" t="s">
        <v>872</v>
      </c>
      <c r="V9" s="196" t="s">
        <v>882</v>
      </c>
      <c r="W9" s="250">
        <v>8</v>
      </c>
    </row>
    <row r="10" spans="1:23" x14ac:dyDescent="0.25">
      <c r="A10" s="169">
        <v>9</v>
      </c>
      <c r="B10" s="167" t="s">
        <v>882</v>
      </c>
      <c r="C10" s="196" t="s">
        <v>872</v>
      </c>
      <c r="D10" s="196"/>
      <c r="E10" s="167"/>
      <c r="F10" s="167"/>
      <c r="G10" s="167"/>
      <c r="H10" s="167"/>
      <c r="I10" s="167"/>
      <c r="J10" s="167"/>
      <c r="K10" s="167"/>
      <c r="L10" s="167"/>
      <c r="M10" s="167"/>
      <c r="N10" s="167"/>
      <c r="O10" s="167"/>
      <c r="P10" s="167"/>
      <c r="Q10" s="167"/>
      <c r="R10" s="167"/>
      <c r="S10" s="167"/>
      <c r="T10" s="167"/>
      <c r="U10" s="196" t="s">
        <v>872</v>
      </c>
      <c r="V10" s="196" t="s">
        <v>882</v>
      </c>
      <c r="W10" s="250">
        <v>9</v>
      </c>
    </row>
    <row r="11" spans="1:23" x14ac:dyDescent="0.25">
      <c r="A11" s="169">
        <v>10</v>
      </c>
      <c r="B11" s="167" t="s">
        <v>882</v>
      </c>
      <c r="C11" s="196" t="s">
        <v>872</v>
      </c>
      <c r="D11" s="196"/>
      <c r="E11" s="167"/>
      <c r="F11" s="167"/>
      <c r="G11" s="167"/>
      <c r="H11" s="167"/>
      <c r="I11" s="167"/>
      <c r="J11" s="167"/>
      <c r="K11" s="167"/>
      <c r="L11" s="167"/>
      <c r="M11" s="167"/>
      <c r="N11" s="167"/>
      <c r="O11" s="167"/>
      <c r="P11" s="167"/>
      <c r="Q11" s="167"/>
      <c r="R11" s="167"/>
      <c r="S11" s="167"/>
      <c r="T11" s="167"/>
      <c r="U11" s="196" t="s">
        <v>872</v>
      </c>
      <c r="V11" s="196" t="s">
        <v>882</v>
      </c>
      <c r="W11" s="250">
        <v>10</v>
      </c>
    </row>
    <row r="12" spans="1:23" x14ac:dyDescent="0.25">
      <c r="A12" s="169">
        <v>11</v>
      </c>
      <c r="B12" s="167" t="s">
        <v>882</v>
      </c>
      <c r="C12" s="196" t="s">
        <v>872</v>
      </c>
      <c r="D12" s="196"/>
      <c r="E12" s="167"/>
      <c r="F12" s="167"/>
      <c r="G12" s="167"/>
      <c r="H12" s="167"/>
      <c r="I12" s="167"/>
      <c r="J12" s="167"/>
      <c r="K12" s="167"/>
      <c r="L12" s="167"/>
      <c r="M12" s="167"/>
      <c r="N12" s="167"/>
      <c r="O12" s="167"/>
      <c r="P12" s="167"/>
      <c r="Q12" s="167"/>
      <c r="R12" s="167"/>
      <c r="S12" s="167"/>
      <c r="T12" s="167"/>
      <c r="U12" s="196" t="s">
        <v>872</v>
      </c>
      <c r="V12" s="196" t="s">
        <v>882</v>
      </c>
      <c r="W12" s="250">
        <v>11</v>
      </c>
    </row>
    <row r="13" spans="1:23" x14ac:dyDescent="0.25">
      <c r="A13" s="169">
        <v>12</v>
      </c>
      <c r="B13" s="167" t="s">
        <v>882</v>
      </c>
      <c r="C13" s="196" t="s">
        <v>872</v>
      </c>
      <c r="D13" s="196"/>
      <c r="E13" s="167"/>
      <c r="F13" s="167"/>
      <c r="G13" s="167"/>
      <c r="H13" s="167"/>
      <c r="I13" s="167"/>
      <c r="J13" s="167"/>
      <c r="K13" s="167"/>
      <c r="L13" s="167"/>
      <c r="M13" s="167"/>
      <c r="N13" s="167"/>
      <c r="O13" s="167"/>
      <c r="P13" s="167"/>
      <c r="Q13" s="167"/>
      <c r="R13" s="167"/>
      <c r="S13" s="167"/>
      <c r="T13" s="167"/>
      <c r="U13" s="196" t="s">
        <v>872</v>
      </c>
      <c r="V13" s="196" t="s">
        <v>882</v>
      </c>
      <c r="W13" s="250">
        <v>12</v>
      </c>
    </row>
    <row r="14" spans="1:23" x14ac:dyDescent="0.25">
      <c r="A14" s="169">
        <v>13</v>
      </c>
      <c r="B14" s="167" t="s">
        <v>882</v>
      </c>
      <c r="C14" s="196" t="s">
        <v>872</v>
      </c>
      <c r="D14" s="196"/>
      <c r="E14" s="167"/>
      <c r="F14" s="167"/>
      <c r="G14" s="167"/>
      <c r="H14" s="167"/>
      <c r="I14" s="167"/>
      <c r="J14" s="167"/>
      <c r="K14" s="167"/>
      <c r="L14" s="167"/>
      <c r="M14" s="167"/>
      <c r="N14" s="167"/>
      <c r="O14" s="167"/>
      <c r="P14" s="167"/>
      <c r="Q14" s="167"/>
      <c r="R14" s="167"/>
      <c r="S14" s="167"/>
      <c r="T14" s="167"/>
      <c r="U14" s="196" t="s">
        <v>872</v>
      </c>
      <c r="V14" s="196" t="s">
        <v>882</v>
      </c>
      <c r="W14" s="250">
        <v>13</v>
      </c>
    </row>
    <row r="15" spans="1:23" x14ac:dyDescent="0.25">
      <c r="A15" s="169">
        <v>14</v>
      </c>
      <c r="B15" s="167" t="s">
        <v>882</v>
      </c>
      <c r="C15" s="196" t="s">
        <v>872</v>
      </c>
      <c r="D15" s="196"/>
      <c r="E15" s="167"/>
      <c r="F15" s="167"/>
      <c r="G15" s="167"/>
      <c r="H15" s="167"/>
      <c r="I15" s="167"/>
      <c r="J15" s="167"/>
      <c r="K15" s="167"/>
      <c r="L15" s="167"/>
      <c r="M15" s="167"/>
      <c r="N15" s="167"/>
      <c r="O15" s="167"/>
      <c r="P15" s="167"/>
      <c r="Q15" s="167"/>
      <c r="R15" s="167"/>
      <c r="S15" s="167"/>
      <c r="T15" s="167"/>
      <c r="U15" s="196" t="s">
        <v>872</v>
      </c>
      <c r="V15" s="196" t="s">
        <v>882</v>
      </c>
      <c r="W15" s="250">
        <v>14</v>
      </c>
    </row>
    <row r="16" spans="1:23" x14ac:dyDescent="0.25">
      <c r="A16" s="169">
        <v>15</v>
      </c>
      <c r="B16" s="167" t="s">
        <v>882</v>
      </c>
      <c r="C16" s="196" t="s">
        <v>872</v>
      </c>
      <c r="D16" s="196"/>
      <c r="E16" s="167"/>
      <c r="F16" s="167"/>
      <c r="G16" s="167"/>
      <c r="H16" s="167"/>
      <c r="I16" s="167"/>
      <c r="J16" s="167"/>
      <c r="K16" s="167"/>
      <c r="L16" s="167"/>
      <c r="M16" s="167"/>
      <c r="N16" s="167"/>
      <c r="O16" s="167"/>
      <c r="P16" s="167"/>
      <c r="Q16" s="167"/>
      <c r="R16" s="167"/>
      <c r="S16" s="167"/>
      <c r="T16" s="167"/>
      <c r="U16" s="196" t="s">
        <v>872</v>
      </c>
      <c r="V16" s="196" t="s">
        <v>882</v>
      </c>
      <c r="W16" s="250">
        <v>15</v>
      </c>
    </row>
    <row r="17" spans="1:23" x14ac:dyDescent="0.25">
      <c r="A17" s="169">
        <v>16</v>
      </c>
      <c r="B17" s="167" t="s">
        <v>882</v>
      </c>
      <c r="C17" s="196" t="s">
        <v>872</v>
      </c>
      <c r="D17" s="196"/>
      <c r="E17" s="167"/>
      <c r="F17" s="167"/>
      <c r="G17" s="167"/>
      <c r="H17" s="167"/>
      <c r="I17" s="167"/>
      <c r="J17" s="167"/>
      <c r="K17" s="167"/>
      <c r="L17" s="167"/>
      <c r="M17" s="167"/>
      <c r="N17" s="167"/>
      <c r="O17" s="167"/>
      <c r="P17" s="167"/>
      <c r="Q17" s="167"/>
      <c r="R17" s="167"/>
      <c r="S17" s="167"/>
      <c r="T17" s="167"/>
      <c r="U17" s="196" t="s">
        <v>872</v>
      </c>
      <c r="V17" s="196" t="s">
        <v>882</v>
      </c>
      <c r="W17" s="250">
        <v>16</v>
      </c>
    </row>
    <row r="18" spans="1:23" ht="15.75" thickBot="1" x14ac:dyDescent="0.3">
      <c r="A18" s="169">
        <v>17</v>
      </c>
      <c r="B18" s="167" t="s">
        <v>882</v>
      </c>
      <c r="C18" s="196" t="s">
        <v>872</v>
      </c>
      <c r="D18" s="196"/>
      <c r="E18" s="167"/>
      <c r="F18" s="167"/>
      <c r="G18" s="167"/>
      <c r="H18" s="167"/>
      <c r="I18" s="167"/>
      <c r="J18" s="167"/>
      <c r="K18" s="167"/>
      <c r="L18" s="167"/>
      <c r="M18" s="167"/>
      <c r="N18" s="167"/>
      <c r="O18" s="167"/>
      <c r="P18" s="167"/>
      <c r="Q18" s="167"/>
      <c r="R18" s="167"/>
      <c r="S18" s="167"/>
      <c r="T18" s="167"/>
      <c r="U18" s="196" t="s">
        <v>872</v>
      </c>
      <c r="V18" s="196" t="s">
        <v>882</v>
      </c>
      <c r="W18" s="250">
        <v>17</v>
      </c>
    </row>
    <row r="19" spans="1:23" ht="16.5" thickTop="1" thickBot="1" x14ac:dyDescent="0.3">
      <c r="A19" s="169">
        <v>18</v>
      </c>
      <c r="B19" s="167" t="s">
        <v>882</v>
      </c>
      <c r="C19" s="196" t="s">
        <v>872</v>
      </c>
      <c r="D19" s="166" t="s">
        <v>872</v>
      </c>
      <c r="E19" s="166" t="s">
        <v>872</v>
      </c>
      <c r="F19" s="166" t="s">
        <v>872</v>
      </c>
      <c r="G19" s="166" t="s">
        <v>872</v>
      </c>
      <c r="H19" s="196"/>
      <c r="I19" s="167"/>
      <c r="J19" s="167"/>
      <c r="K19" s="167"/>
      <c r="L19" s="167"/>
      <c r="M19" s="167"/>
      <c r="N19" s="167"/>
      <c r="O19" s="167"/>
      <c r="P19" s="197" t="s">
        <v>872</v>
      </c>
      <c r="Q19" s="166" t="s">
        <v>872</v>
      </c>
      <c r="R19" s="166" t="s">
        <v>872</v>
      </c>
      <c r="S19" s="166" t="s">
        <v>868</v>
      </c>
      <c r="T19" s="166" t="s">
        <v>872</v>
      </c>
      <c r="U19" s="167" t="s">
        <v>868</v>
      </c>
      <c r="V19" s="196" t="s">
        <v>911</v>
      </c>
      <c r="W19" s="250">
        <v>18</v>
      </c>
    </row>
    <row r="20" spans="1:23" ht="16.5" thickTop="1" thickBot="1" x14ac:dyDescent="0.3">
      <c r="A20" s="169">
        <v>19</v>
      </c>
      <c r="B20" s="167" t="s">
        <v>882</v>
      </c>
      <c r="C20" s="196" t="s">
        <v>872</v>
      </c>
      <c r="D20" s="197" t="s">
        <v>911</v>
      </c>
      <c r="E20" s="251" t="s">
        <v>995</v>
      </c>
      <c r="F20" s="251" t="s">
        <v>995</v>
      </c>
      <c r="G20" s="196" t="s">
        <v>868</v>
      </c>
      <c r="H20" s="166" t="s">
        <v>872</v>
      </c>
      <c r="I20" s="166" t="s">
        <v>872</v>
      </c>
      <c r="J20" s="166" t="s">
        <v>872</v>
      </c>
      <c r="K20" s="166" t="s">
        <v>872</v>
      </c>
      <c r="L20" s="166" t="s">
        <v>872</v>
      </c>
      <c r="M20" s="166" t="s">
        <v>872</v>
      </c>
      <c r="N20" s="166" t="s">
        <v>872</v>
      </c>
      <c r="O20" s="166" t="s">
        <v>872</v>
      </c>
      <c r="P20" s="167" t="s">
        <v>872</v>
      </c>
      <c r="Q20" s="182"/>
      <c r="R20" s="196" t="s">
        <v>872</v>
      </c>
      <c r="S20" s="252" t="s">
        <v>996</v>
      </c>
      <c r="T20" s="196" t="s">
        <v>872</v>
      </c>
      <c r="U20" s="252" t="s">
        <v>997</v>
      </c>
      <c r="V20" s="253" t="s">
        <v>911</v>
      </c>
      <c r="W20" s="250">
        <v>19</v>
      </c>
    </row>
    <row r="21" spans="1:23" ht="16.5" thickTop="1" thickBot="1" x14ac:dyDescent="0.3">
      <c r="A21" s="169">
        <v>20</v>
      </c>
      <c r="B21" s="167" t="s">
        <v>882</v>
      </c>
      <c r="C21" s="196" t="s">
        <v>872</v>
      </c>
      <c r="D21" s="196" t="s">
        <v>862</v>
      </c>
      <c r="E21" s="156"/>
      <c r="F21" s="156"/>
      <c r="G21" s="254" t="s">
        <v>998</v>
      </c>
      <c r="H21" s="255" t="s">
        <v>872</v>
      </c>
      <c r="I21" s="183"/>
      <c r="J21" s="183"/>
      <c r="K21" s="183"/>
      <c r="L21" s="183"/>
      <c r="M21" s="183"/>
      <c r="N21" s="183"/>
      <c r="O21" s="183"/>
      <c r="P21" s="183"/>
      <c r="Q21" s="156"/>
      <c r="R21" s="196" t="s">
        <v>872</v>
      </c>
      <c r="S21" s="256" t="s">
        <v>996</v>
      </c>
      <c r="T21" s="196" t="s">
        <v>872</v>
      </c>
      <c r="U21" s="256" t="s">
        <v>997</v>
      </c>
      <c r="V21" s="253" t="s">
        <v>911</v>
      </c>
      <c r="W21" s="250">
        <v>20</v>
      </c>
    </row>
    <row r="22" spans="1:23" ht="16.5" thickTop="1" thickBot="1" x14ac:dyDescent="0.3">
      <c r="A22" s="169">
        <v>21</v>
      </c>
      <c r="B22" s="167" t="s">
        <v>911</v>
      </c>
      <c r="C22" s="196" t="s">
        <v>872</v>
      </c>
      <c r="D22" s="196" t="s">
        <v>862</v>
      </c>
      <c r="E22" s="156"/>
      <c r="F22" s="156"/>
      <c r="G22" s="257" t="s">
        <v>998</v>
      </c>
      <c r="H22" s="258" t="s">
        <v>872</v>
      </c>
      <c r="I22" s="156"/>
      <c r="J22" s="156"/>
      <c r="K22" s="156"/>
      <c r="L22" s="156"/>
      <c r="M22" s="156"/>
      <c r="N22" s="156"/>
      <c r="O22" s="156"/>
      <c r="P22" s="156"/>
      <c r="Q22" s="156"/>
      <c r="R22" s="196" t="s">
        <v>872</v>
      </c>
      <c r="S22" s="259" t="s">
        <v>911</v>
      </c>
      <c r="T22" s="196" t="s">
        <v>868</v>
      </c>
      <c r="U22" s="259" t="s">
        <v>911</v>
      </c>
      <c r="V22" s="167" t="s">
        <v>911</v>
      </c>
      <c r="W22" s="250">
        <v>21</v>
      </c>
    </row>
    <row r="23" spans="1:23" ht="16.5" thickTop="1" thickBot="1" x14ac:dyDescent="0.3">
      <c r="A23" s="169">
        <v>22</v>
      </c>
      <c r="B23" s="167" t="s">
        <v>911</v>
      </c>
      <c r="C23" s="196" t="s">
        <v>872</v>
      </c>
      <c r="D23" s="166" t="s">
        <v>872</v>
      </c>
      <c r="E23" s="166" t="s">
        <v>872</v>
      </c>
      <c r="F23" s="166" t="s">
        <v>872</v>
      </c>
      <c r="G23" s="166" t="s">
        <v>872</v>
      </c>
      <c r="H23" s="166" t="s">
        <v>872</v>
      </c>
      <c r="I23" s="166" t="s">
        <v>872</v>
      </c>
      <c r="J23" s="166" t="s">
        <v>872</v>
      </c>
      <c r="K23" s="260" t="s">
        <v>872</v>
      </c>
      <c r="L23" s="261" t="s">
        <v>872</v>
      </c>
      <c r="M23" s="166" t="s">
        <v>872</v>
      </c>
      <c r="N23" s="166" t="s">
        <v>872</v>
      </c>
      <c r="O23" s="166" t="s">
        <v>872</v>
      </c>
      <c r="P23" s="166" t="s">
        <v>872</v>
      </c>
      <c r="Q23" s="166" t="s">
        <v>872</v>
      </c>
      <c r="R23" s="167" t="s">
        <v>872</v>
      </c>
      <c r="S23" s="166" t="s">
        <v>872</v>
      </c>
      <c r="T23" s="167" t="s">
        <v>872</v>
      </c>
      <c r="U23" s="196" t="s">
        <v>911</v>
      </c>
      <c r="V23" s="167" t="s">
        <v>911</v>
      </c>
      <c r="W23" s="250">
        <v>22</v>
      </c>
    </row>
    <row r="24" spans="1:23" ht="16.5" thickTop="1" thickBot="1" x14ac:dyDescent="0.3">
      <c r="A24" s="243" t="s">
        <v>972</v>
      </c>
      <c r="B24" s="262">
        <v>1</v>
      </c>
      <c r="C24" s="245">
        <v>2</v>
      </c>
      <c r="D24" s="245">
        <v>3</v>
      </c>
      <c r="E24" s="245">
        <v>4</v>
      </c>
      <c r="F24" s="245">
        <v>5</v>
      </c>
      <c r="G24" s="245">
        <v>6</v>
      </c>
      <c r="H24" s="245">
        <v>7</v>
      </c>
      <c r="I24" s="245">
        <v>8</v>
      </c>
      <c r="J24" s="245">
        <v>9</v>
      </c>
      <c r="K24" s="245">
        <v>10</v>
      </c>
      <c r="L24" s="245">
        <v>11</v>
      </c>
      <c r="M24" s="245">
        <v>12</v>
      </c>
      <c r="N24" s="245">
        <v>13</v>
      </c>
      <c r="O24" s="245">
        <v>14</v>
      </c>
      <c r="P24" s="245">
        <v>15</v>
      </c>
      <c r="Q24" s="245">
        <v>16</v>
      </c>
      <c r="R24" s="245">
        <v>17</v>
      </c>
      <c r="S24" s="245">
        <v>18</v>
      </c>
      <c r="T24" s="245">
        <v>19</v>
      </c>
      <c r="U24" s="246">
        <v>20</v>
      </c>
      <c r="V24" s="246">
        <v>21</v>
      </c>
      <c r="W24" s="248" t="s">
        <v>972</v>
      </c>
    </row>
    <row r="25" spans="1:23" ht="15.75" thickTop="1" x14ac:dyDescent="0.25">
      <c r="I25" s="73"/>
      <c r="L25" s="73"/>
      <c r="O25" s="73"/>
    </row>
    <row r="26" spans="1:23" x14ac:dyDescent="0.25">
      <c r="I26" s="110" t="s">
        <v>994</v>
      </c>
      <c r="J26" s="111"/>
      <c r="K26" s="111"/>
      <c r="L26" s="111"/>
      <c r="M26" s="111"/>
      <c r="N26" s="111"/>
      <c r="O26" s="111"/>
    </row>
  </sheetData>
  <mergeCells count="1">
    <mergeCell ref="I26:O26"/>
  </mergeCells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3C042-CBB4-47BD-B41A-4477DE41DE65}">
  <sheetPr codeName="Sheet16"/>
  <dimension ref="A1:W26"/>
  <sheetViews>
    <sheetView workbookViewId="0"/>
  </sheetViews>
  <sheetFormatPr defaultRowHeight="15" x14ac:dyDescent="0.25"/>
  <cols>
    <col min="1" max="1" width="7.7109375" style="24" customWidth="1"/>
    <col min="2" max="9" width="4.42578125" style="24" bestFit="1" customWidth="1"/>
    <col min="10" max="10" width="4.140625" style="24" customWidth="1"/>
    <col min="11" max="22" width="5.140625" style="24" customWidth="1"/>
    <col min="23" max="23" width="9.5703125" style="24" bestFit="1" customWidth="1"/>
  </cols>
  <sheetData>
    <row r="1" spans="1:23" ht="16.5" thickTop="1" thickBot="1" x14ac:dyDescent="0.3">
      <c r="A1" s="156" t="s">
        <v>972</v>
      </c>
      <c r="B1" s="98" t="s">
        <v>276</v>
      </c>
      <c r="C1" s="99" t="s">
        <v>973</v>
      </c>
      <c r="D1" s="99" t="s">
        <v>362</v>
      </c>
      <c r="E1" s="99" t="s">
        <v>310</v>
      </c>
      <c r="F1" s="99" t="s">
        <v>974</v>
      </c>
      <c r="G1" s="99" t="s">
        <v>355</v>
      </c>
      <c r="H1" s="99" t="s">
        <v>363</v>
      </c>
      <c r="I1" s="99" t="s">
        <v>371</v>
      </c>
      <c r="J1" s="99" t="s">
        <v>229</v>
      </c>
      <c r="K1" s="99" t="s">
        <v>289</v>
      </c>
      <c r="L1" s="99" t="s">
        <v>230</v>
      </c>
      <c r="M1" s="99" t="s">
        <v>290</v>
      </c>
      <c r="N1" s="99" t="s">
        <v>376</v>
      </c>
      <c r="O1" s="99" t="s">
        <v>296</v>
      </c>
      <c r="P1" s="99" t="s">
        <v>975</v>
      </c>
      <c r="Q1" s="99" t="s">
        <v>976</v>
      </c>
      <c r="R1" s="99" t="s">
        <v>329</v>
      </c>
      <c r="S1" s="99" t="s">
        <v>977</v>
      </c>
      <c r="T1" s="99" t="s">
        <v>978</v>
      </c>
      <c r="U1" s="99" t="s">
        <v>979</v>
      </c>
      <c r="V1" s="99" t="s">
        <v>980</v>
      </c>
      <c r="W1" s="157" t="s">
        <v>981</v>
      </c>
    </row>
    <row r="2" spans="1:23" ht="16.5" thickTop="1" thickBot="1" x14ac:dyDescent="0.3">
      <c r="A2" s="158">
        <v>1</v>
      </c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263" t="s">
        <v>882</v>
      </c>
      <c r="M2" s="263" t="s">
        <v>882</v>
      </c>
      <c r="N2" s="264" t="s">
        <v>882</v>
      </c>
      <c r="O2" s="264" t="s">
        <v>882</v>
      </c>
      <c r="P2" s="264" t="s">
        <v>882</v>
      </c>
      <c r="Q2" s="264" t="s">
        <v>882</v>
      </c>
      <c r="R2" s="264" t="s">
        <v>882</v>
      </c>
      <c r="S2" s="264" t="s">
        <v>882</v>
      </c>
      <c r="T2" s="264" t="s">
        <v>882</v>
      </c>
      <c r="U2" s="264" t="s">
        <v>882</v>
      </c>
      <c r="V2" s="264" t="s">
        <v>882</v>
      </c>
      <c r="W2" s="249">
        <v>1</v>
      </c>
    </row>
    <row r="3" spans="1:23" ht="16.5" thickTop="1" thickBot="1" x14ac:dyDescent="0.3">
      <c r="A3" s="169">
        <v>2</v>
      </c>
      <c r="B3" s="112"/>
      <c r="C3" s="265" t="s">
        <v>872</v>
      </c>
      <c r="D3" s="229" t="s">
        <v>872</v>
      </c>
      <c r="E3" s="229" t="s">
        <v>872</v>
      </c>
      <c r="F3" s="229" t="s">
        <v>872</v>
      </c>
      <c r="G3" s="229" t="s">
        <v>872</v>
      </c>
      <c r="H3" s="229" t="s">
        <v>872</v>
      </c>
      <c r="I3" s="229" t="s">
        <v>872</v>
      </c>
      <c r="J3" s="229" t="s">
        <v>872</v>
      </c>
      <c r="K3" s="229" t="s">
        <v>872</v>
      </c>
      <c r="L3" s="229" t="s">
        <v>872</v>
      </c>
      <c r="M3" s="229" t="s">
        <v>872</v>
      </c>
      <c r="N3" s="229" t="s">
        <v>872</v>
      </c>
      <c r="O3" s="229" t="s">
        <v>872</v>
      </c>
      <c r="P3" s="229" t="s">
        <v>872</v>
      </c>
      <c r="Q3" s="229" t="s">
        <v>872</v>
      </c>
      <c r="R3" s="229" t="s">
        <v>872</v>
      </c>
      <c r="S3" s="229" t="s">
        <v>872</v>
      </c>
      <c r="T3" s="229" t="s">
        <v>872</v>
      </c>
      <c r="U3" s="229" t="s">
        <v>872</v>
      </c>
      <c r="V3" s="266" t="s">
        <v>882</v>
      </c>
      <c r="W3" s="250">
        <v>2</v>
      </c>
    </row>
    <row r="4" spans="1:23" ht="16.5" thickTop="1" thickBot="1" x14ac:dyDescent="0.3">
      <c r="A4" s="169">
        <v>3</v>
      </c>
      <c r="B4" s="112"/>
      <c r="C4" s="267" t="s">
        <v>1010</v>
      </c>
      <c r="D4" s="267" t="s">
        <v>872</v>
      </c>
      <c r="E4" s="267" t="s">
        <v>1011</v>
      </c>
      <c r="F4" s="268" t="s">
        <v>872</v>
      </c>
      <c r="G4" s="112" t="s">
        <v>911</v>
      </c>
      <c r="H4" s="112" t="s">
        <v>911</v>
      </c>
      <c r="I4" s="112" t="s">
        <v>911</v>
      </c>
      <c r="J4" s="112" t="s">
        <v>911</v>
      </c>
      <c r="K4" s="112" t="s">
        <v>872</v>
      </c>
      <c r="L4" s="265"/>
      <c r="M4" s="269" t="s">
        <v>1008</v>
      </c>
      <c r="N4" s="269" t="s">
        <v>1008</v>
      </c>
      <c r="O4" s="269" t="s">
        <v>1008</v>
      </c>
      <c r="P4" s="269" t="s">
        <v>1008</v>
      </c>
      <c r="Q4" s="269" t="s">
        <v>1008</v>
      </c>
      <c r="R4" s="269" t="s">
        <v>1008</v>
      </c>
      <c r="S4" s="269" t="s">
        <v>1008</v>
      </c>
      <c r="T4" s="269" t="s">
        <v>1008</v>
      </c>
      <c r="U4" s="268" t="s">
        <v>872</v>
      </c>
      <c r="V4" s="266" t="s">
        <v>882</v>
      </c>
      <c r="W4" s="250">
        <v>3</v>
      </c>
    </row>
    <row r="5" spans="1:23" ht="15.75" thickBot="1" x14ac:dyDescent="0.3">
      <c r="A5" s="169">
        <v>4</v>
      </c>
      <c r="B5" s="112"/>
      <c r="C5" s="270" t="s">
        <v>1010</v>
      </c>
      <c r="D5" s="267" t="s">
        <v>872</v>
      </c>
      <c r="E5" s="270" t="s">
        <v>1011</v>
      </c>
      <c r="F5" s="268" t="s">
        <v>872</v>
      </c>
      <c r="G5" s="112" t="s">
        <v>911</v>
      </c>
      <c r="H5" s="112" t="s">
        <v>911</v>
      </c>
      <c r="I5" s="112" t="s">
        <v>911</v>
      </c>
      <c r="J5" s="112" t="s">
        <v>911</v>
      </c>
      <c r="K5" s="112" t="s">
        <v>872</v>
      </c>
      <c r="L5" s="268"/>
      <c r="M5" s="271" t="s">
        <v>1008</v>
      </c>
      <c r="N5" s="271" t="s">
        <v>1008</v>
      </c>
      <c r="O5" s="271" t="s">
        <v>1008</v>
      </c>
      <c r="P5" s="271" t="s">
        <v>1008</v>
      </c>
      <c r="Q5" s="271" t="s">
        <v>1008</v>
      </c>
      <c r="R5" s="271" t="s">
        <v>1008</v>
      </c>
      <c r="S5" s="271" t="s">
        <v>1008</v>
      </c>
      <c r="T5" s="271" t="s">
        <v>1008</v>
      </c>
      <c r="U5" s="268" t="s">
        <v>872</v>
      </c>
      <c r="V5" s="266" t="s">
        <v>882</v>
      </c>
      <c r="W5" s="250">
        <v>4</v>
      </c>
    </row>
    <row r="6" spans="1:23" x14ac:dyDescent="0.25">
      <c r="A6" s="169">
        <v>5</v>
      </c>
      <c r="B6" s="112"/>
      <c r="C6" s="272" t="s">
        <v>872</v>
      </c>
      <c r="D6" s="112" t="s">
        <v>872</v>
      </c>
      <c r="E6" s="273" t="s">
        <v>872</v>
      </c>
      <c r="F6" s="112" t="s">
        <v>872</v>
      </c>
      <c r="G6" s="112" t="s">
        <v>911</v>
      </c>
      <c r="H6" s="112" t="s">
        <v>911</v>
      </c>
      <c r="I6" s="112" t="s">
        <v>911</v>
      </c>
      <c r="J6" s="112" t="s">
        <v>911</v>
      </c>
      <c r="K6" s="112" t="s">
        <v>872</v>
      </c>
      <c r="L6" s="268"/>
      <c r="M6" s="271" t="s">
        <v>1008</v>
      </c>
      <c r="N6" s="271" t="s">
        <v>1008</v>
      </c>
      <c r="O6" s="271" t="s">
        <v>1008</v>
      </c>
      <c r="P6" s="271" t="s">
        <v>1008</v>
      </c>
      <c r="Q6" s="271" t="s">
        <v>1008</v>
      </c>
      <c r="R6" s="271" t="s">
        <v>1008</v>
      </c>
      <c r="S6" s="271" t="s">
        <v>1008</v>
      </c>
      <c r="T6" s="271" t="s">
        <v>1008</v>
      </c>
      <c r="U6" s="268" t="s">
        <v>872</v>
      </c>
      <c r="V6" s="266" t="s">
        <v>882</v>
      </c>
      <c r="W6" s="250">
        <v>5</v>
      </c>
    </row>
    <row r="7" spans="1:23" x14ac:dyDescent="0.25">
      <c r="A7" s="169">
        <v>6</v>
      </c>
      <c r="B7" s="112"/>
      <c r="C7" s="268" t="s">
        <v>872</v>
      </c>
      <c r="D7" s="112" t="s">
        <v>911</v>
      </c>
      <c r="E7" s="112" t="s">
        <v>911</v>
      </c>
      <c r="F7" s="112" t="s">
        <v>911</v>
      </c>
      <c r="G7" s="112" t="s">
        <v>911</v>
      </c>
      <c r="H7" s="112" t="s">
        <v>911</v>
      </c>
      <c r="I7" s="112" t="s">
        <v>911</v>
      </c>
      <c r="J7" s="112" t="s">
        <v>911</v>
      </c>
      <c r="K7" s="112" t="s">
        <v>872</v>
      </c>
      <c r="L7" s="268"/>
      <c r="M7" s="271" t="s">
        <v>1008</v>
      </c>
      <c r="N7" s="271" t="s">
        <v>1008</v>
      </c>
      <c r="O7" s="271" t="s">
        <v>1008</v>
      </c>
      <c r="P7" s="271" t="s">
        <v>1008</v>
      </c>
      <c r="Q7" s="271" t="s">
        <v>1008</v>
      </c>
      <c r="R7" s="271" t="s">
        <v>1008</v>
      </c>
      <c r="S7" s="271" t="s">
        <v>1008</v>
      </c>
      <c r="T7" s="271" t="s">
        <v>1008</v>
      </c>
      <c r="U7" s="268" t="s">
        <v>872</v>
      </c>
      <c r="V7" s="266" t="s">
        <v>882</v>
      </c>
      <c r="W7" s="250">
        <v>6</v>
      </c>
    </row>
    <row r="8" spans="1:23" x14ac:dyDescent="0.25">
      <c r="A8" s="169">
        <v>7</v>
      </c>
      <c r="B8" s="112"/>
      <c r="C8" s="268" t="s">
        <v>872</v>
      </c>
      <c r="D8" s="112" t="s">
        <v>911</v>
      </c>
      <c r="E8" s="112" t="s">
        <v>911</v>
      </c>
      <c r="F8" s="112" t="s">
        <v>911</v>
      </c>
      <c r="G8" s="112" t="s">
        <v>911</v>
      </c>
      <c r="H8" s="112" t="s">
        <v>911</v>
      </c>
      <c r="I8" s="112" t="s">
        <v>911</v>
      </c>
      <c r="J8" s="112" t="s">
        <v>911</v>
      </c>
      <c r="K8" s="112" t="s">
        <v>872</v>
      </c>
      <c r="L8" s="268"/>
      <c r="M8" s="271" t="s">
        <v>1008</v>
      </c>
      <c r="N8" s="271" t="s">
        <v>1008</v>
      </c>
      <c r="O8" s="271" t="s">
        <v>1008</v>
      </c>
      <c r="P8" s="271" t="s">
        <v>1008</v>
      </c>
      <c r="Q8" s="271" t="s">
        <v>1008</v>
      </c>
      <c r="R8" s="271" t="s">
        <v>1008</v>
      </c>
      <c r="S8" s="271" t="s">
        <v>1008</v>
      </c>
      <c r="T8" s="271" t="s">
        <v>1008</v>
      </c>
      <c r="U8" s="268" t="s">
        <v>872</v>
      </c>
      <c r="V8" s="266" t="s">
        <v>882</v>
      </c>
      <c r="W8" s="250">
        <v>7</v>
      </c>
    </row>
    <row r="9" spans="1:23" x14ac:dyDescent="0.25">
      <c r="A9" s="169">
        <v>8</v>
      </c>
      <c r="B9" s="112"/>
      <c r="C9" s="268" t="s">
        <v>872</v>
      </c>
      <c r="D9" s="112" t="s">
        <v>911</v>
      </c>
      <c r="E9" s="112" t="s">
        <v>911</v>
      </c>
      <c r="F9" s="112" t="s">
        <v>911</v>
      </c>
      <c r="G9" s="112" t="s">
        <v>911</v>
      </c>
      <c r="H9" s="112" t="s">
        <v>911</v>
      </c>
      <c r="I9" s="112" t="s">
        <v>911</v>
      </c>
      <c r="J9" s="112" t="s">
        <v>911</v>
      </c>
      <c r="K9" s="112" t="s">
        <v>872</v>
      </c>
      <c r="L9" s="268"/>
      <c r="M9" s="271" t="s">
        <v>1008</v>
      </c>
      <c r="N9" s="271" t="s">
        <v>1008</v>
      </c>
      <c r="O9" s="271" t="s">
        <v>1008</v>
      </c>
      <c r="P9" s="271" t="s">
        <v>1008</v>
      </c>
      <c r="Q9" s="271" t="s">
        <v>1008</v>
      </c>
      <c r="R9" s="271" t="s">
        <v>1008</v>
      </c>
      <c r="S9" s="271" t="s">
        <v>1008</v>
      </c>
      <c r="T9" s="271" t="s">
        <v>1008</v>
      </c>
      <c r="U9" s="268" t="s">
        <v>872</v>
      </c>
      <c r="V9" s="266" t="s">
        <v>882</v>
      </c>
      <c r="W9" s="250">
        <v>8</v>
      </c>
    </row>
    <row r="10" spans="1:23" x14ac:dyDescent="0.25">
      <c r="A10" s="169">
        <v>9</v>
      </c>
      <c r="B10" s="112"/>
      <c r="C10" s="268" t="s">
        <v>872</v>
      </c>
      <c r="D10" s="112" t="s">
        <v>911</v>
      </c>
      <c r="E10" s="112" t="s">
        <v>911</v>
      </c>
      <c r="F10" s="112" t="s">
        <v>911</v>
      </c>
      <c r="G10" s="112" t="s">
        <v>911</v>
      </c>
      <c r="H10" s="112" t="s">
        <v>911</v>
      </c>
      <c r="I10" s="112" t="s">
        <v>911</v>
      </c>
      <c r="J10" s="112" t="s">
        <v>911</v>
      </c>
      <c r="K10" s="112" t="s">
        <v>872</v>
      </c>
      <c r="L10" s="268"/>
      <c r="M10" s="271" t="s">
        <v>1008</v>
      </c>
      <c r="N10" s="271" t="s">
        <v>1008</v>
      </c>
      <c r="O10" s="271" t="s">
        <v>1008</v>
      </c>
      <c r="P10" s="271" t="s">
        <v>1008</v>
      </c>
      <c r="Q10" s="271" t="s">
        <v>1008</v>
      </c>
      <c r="R10" s="271" t="s">
        <v>1008</v>
      </c>
      <c r="S10" s="271" t="s">
        <v>1008</v>
      </c>
      <c r="T10" s="271" t="s">
        <v>1008</v>
      </c>
      <c r="U10" s="268" t="s">
        <v>872</v>
      </c>
      <c r="V10" s="266" t="s">
        <v>882</v>
      </c>
      <c r="W10" s="250">
        <v>9</v>
      </c>
    </row>
    <row r="11" spans="1:23" ht="15.75" thickBot="1" x14ac:dyDescent="0.3">
      <c r="A11" s="169">
        <v>10</v>
      </c>
      <c r="B11" s="112"/>
      <c r="C11" s="268" t="s">
        <v>872</v>
      </c>
      <c r="D11" s="112" t="s">
        <v>872</v>
      </c>
      <c r="E11" s="112" t="s">
        <v>872</v>
      </c>
      <c r="F11" s="112" t="s">
        <v>872</v>
      </c>
      <c r="G11" s="112" t="s">
        <v>872</v>
      </c>
      <c r="H11" s="112" t="s">
        <v>872</v>
      </c>
      <c r="I11" s="112" t="s">
        <v>872</v>
      </c>
      <c r="J11" s="112" t="s">
        <v>872</v>
      </c>
      <c r="K11" s="112" t="s">
        <v>872</v>
      </c>
      <c r="L11" s="268"/>
      <c r="M11" s="271" t="s">
        <v>1008</v>
      </c>
      <c r="N11" s="271" t="s">
        <v>1008</v>
      </c>
      <c r="O11" s="271" t="s">
        <v>1008</v>
      </c>
      <c r="P11" s="271" t="s">
        <v>1008</v>
      </c>
      <c r="Q11" s="271" t="s">
        <v>1008</v>
      </c>
      <c r="R11" s="271" t="s">
        <v>1008</v>
      </c>
      <c r="S11" s="271" t="s">
        <v>1008</v>
      </c>
      <c r="T11" s="271" t="s">
        <v>1008</v>
      </c>
      <c r="U11" s="268" t="s">
        <v>872</v>
      </c>
      <c r="V11" s="266" t="s">
        <v>882</v>
      </c>
      <c r="W11" s="250">
        <v>10</v>
      </c>
    </row>
    <row r="12" spans="1:23" ht="15.75" thickTop="1" x14ac:dyDescent="0.25">
      <c r="A12" s="169">
        <v>11</v>
      </c>
      <c r="B12" s="197" t="s">
        <v>882</v>
      </c>
      <c r="C12" s="167" t="s">
        <v>872</v>
      </c>
      <c r="D12" s="265"/>
      <c r="E12" s="229"/>
      <c r="F12" s="229"/>
      <c r="G12" s="229"/>
      <c r="H12" s="229"/>
      <c r="I12" s="229"/>
      <c r="J12" s="229"/>
      <c r="K12" s="229"/>
      <c r="L12" s="112"/>
      <c r="M12" s="271" t="s">
        <v>1008</v>
      </c>
      <c r="N12" s="271" t="s">
        <v>1008</v>
      </c>
      <c r="O12" s="271" t="s">
        <v>1008</v>
      </c>
      <c r="P12" s="271" t="s">
        <v>1008</v>
      </c>
      <c r="Q12" s="271" t="s">
        <v>1008</v>
      </c>
      <c r="R12" s="271" t="s">
        <v>1008</v>
      </c>
      <c r="S12" s="271" t="s">
        <v>1008</v>
      </c>
      <c r="T12" s="271" t="s">
        <v>1008</v>
      </c>
      <c r="U12" s="268" t="s">
        <v>872</v>
      </c>
      <c r="V12" s="266" t="s">
        <v>911</v>
      </c>
      <c r="W12" s="250">
        <v>11</v>
      </c>
    </row>
    <row r="13" spans="1:23" ht="15.75" thickBot="1" x14ac:dyDescent="0.3">
      <c r="A13" s="169">
        <v>12</v>
      </c>
      <c r="B13" s="196" t="s">
        <v>882</v>
      </c>
      <c r="C13" s="167" t="s">
        <v>872</v>
      </c>
      <c r="D13" s="268"/>
      <c r="E13" s="112"/>
      <c r="F13" s="112"/>
      <c r="G13" s="112"/>
      <c r="H13" s="112"/>
      <c r="I13" s="112"/>
      <c r="J13" s="112"/>
      <c r="K13" s="112"/>
      <c r="L13" s="112"/>
      <c r="M13" s="271" t="s">
        <v>1008</v>
      </c>
      <c r="N13" s="271" t="s">
        <v>1008</v>
      </c>
      <c r="O13" s="271" t="s">
        <v>1008</v>
      </c>
      <c r="P13" s="271" t="s">
        <v>1008</v>
      </c>
      <c r="Q13" s="271" t="s">
        <v>1008</v>
      </c>
      <c r="R13" s="271" t="s">
        <v>1008</v>
      </c>
      <c r="S13" s="271" t="s">
        <v>1008</v>
      </c>
      <c r="T13" s="271" t="s">
        <v>1008</v>
      </c>
      <c r="U13" s="268" t="s">
        <v>872</v>
      </c>
      <c r="V13" s="266" t="s">
        <v>911</v>
      </c>
      <c r="W13" s="250">
        <v>12</v>
      </c>
    </row>
    <row r="14" spans="1:23" ht="15.75" thickTop="1" x14ac:dyDescent="0.25">
      <c r="A14" s="169">
        <v>13</v>
      </c>
      <c r="B14" s="196" t="s">
        <v>882</v>
      </c>
      <c r="C14" s="167" t="s">
        <v>872</v>
      </c>
      <c r="D14" s="268"/>
      <c r="E14" s="112"/>
      <c r="F14" s="112"/>
      <c r="G14" s="112"/>
      <c r="H14" s="112"/>
      <c r="I14" s="112"/>
      <c r="J14" s="112"/>
      <c r="K14" s="112"/>
      <c r="L14" s="112"/>
      <c r="M14" s="274" t="s">
        <v>872</v>
      </c>
      <c r="N14" s="275" t="s">
        <v>872</v>
      </c>
      <c r="O14" s="275" t="s">
        <v>872</v>
      </c>
      <c r="P14" s="275" t="s">
        <v>872</v>
      </c>
      <c r="Q14" s="275" t="s">
        <v>872</v>
      </c>
      <c r="R14" s="275" t="s">
        <v>872</v>
      </c>
      <c r="S14" s="275" t="s">
        <v>872</v>
      </c>
      <c r="T14" s="275" t="s">
        <v>872</v>
      </c>
      <c r="U14" s="276" t="s">
        <v>872</v>
      </c>
      <c r="V14" s="277" t="s">
        <v>911</v>
      </c>
      <c r="W14" s="250">
        <v>13</v>
      </c>
    </row>
    <row r="15" spans="1:23" x14ac:dyDescent="0.25">
      <c r="A15" s="169">
        <v>14</v>
      </c>
      <c r="B15" s="196" t="s">
        <v>882</v>
      </c>
      <c r="C15" s="167" t="s">
        <v>872</v>
      </c>
      <c r="D15" s="268"/>
      <c r="E15" s="112"/>
      <c r="F15" s="112"/>
      <c r="G15" s="112"/>
      <c r="H15" s="112"/>
      <c r="I15" s="112"/>
      <c r="J15" s="112"/>
      <c r="K15" s="112"/>
      <c r="L15" s="112"/>
      <c r="M15" s="278" t="s">
        <v>872</v>
      </c>
      <c r="N15" s="279" t="s">
        <v>911</v>
      </c>
      <c r="O15" s="279" t="s">
        <v>911</v>
      </c>
      <c r="P15" s="279" t="s">
        <v>911</v>
      </c>
      <c r="Q15" s="279" t="s">
        <v>911</v>
      </c>
      <c r="R15" s="279" t="s">
        <v>911</v>
      </c>
      <c r="S15" s="279" t="s">
        <v>911</v>
      </c>
      <c r="T15" s="279" t="s">
        <v>911</v>
      </c>
      <c r="U15" s="280" t="s">
        <v>872</v>
      </c>
      <c r="V15" s="277" t="s">
        <v>911</v>
      </c>
      <c r="W15" s="250">
        <v>14</v>
      </c>
    </row>
    <row r="16" spans="1:23" x14ac:dyDescent="0.25">
      <c r="A16" s="169">
        <v>15</v>
      </c>
      <c r="B16" s="196" t="s">
        <v>882</v>
      </c>
      <c r="C16" s="167" t="s">
        <v>872</v>
      </c>
      <c r="D16" s="268"/>
      <c r="E16" s="112"/>
      <c r="F16" s="112"/>
      <c r="G16" s="112"/>
      <c r="H16" s="112"/>
      <c r="I16" s="112"/>
      <c r="J16" s="112"/>
      <c r="K16" s="112"/>
      <c r="L16" s="112"/>
      <c r="M16" s="278" t="s">
        <v>872</v>
      </c>
      <c r="N16" s="279" t="s">
        <v>911</v>
      </c>
      <c r="O16" s="279" t="s">
        <v>911</v>
      </c>
      <c r="P16" s="279" t="s">
        <v>911</v>
      </c>
      <c r="Q16" s="279" t="s">
        <v>911</v>
      </c>
      <c r="R16" s="279" t="s">
        <v>911</v>
      </c>
      <c r="S16" s="279" t="s">
        <v>911</v>
      </c>
      <c r="T16" s="279" t="s">
        <v>911</v>
      </c>
      <c r="U16" s="280" t="s">
        <v>872</v>
      </c>
      <c r="V16" s="277" t="s">
        <v>911</v>
      </c>
      <c r="W16" s="250">
        <v>15</v>
      </c>
    </row>
    <row r="17" spans="1:23" x14ac:dyDescent="0.25">
      <c r="A17" s="169">
        <v>16</v>
      </c>
      <c r="B17" s="196" t="s">
        <v>882</v>
      </c>
      <c r="C17" s="167" t="s">
        <v>872</v>
      </c>
      <c r="D17" s="268"/>
      <c r="E17" s="112"/>
      <c r="F17" s="167"/>
      <c r="G17" s="167"/>
      <c r="H17" s="112"/>
      <c r="I17" s="112"/>
      <c r="J17" s="112"/>
      <c r="K17" s="112"/>
      <c r="L17" s="112"/>
      <c r="M17" s="278" t="s">
        <v>872</v>
      </c>
      <c r="N17" s="279" t="s">
        <v>911</v>
      </c>
      <c r="O17" s="279" t="s">
        <v>911</v>
      </c>
      <c r="P17" s="279" t="s">
        <v>911</v>
      </c>
      <c r="Q17" s="279" t="s">
        <v>911</v>
      </c>
      <c r="R17" s="279" t="s">
        <v>911</v>
      </c>
      <c r="S17" s="279" t="s">
        <v>911</v>
      </c>
      <c r="T17" s="279" t="s">
        <v>911</v>
      </c>
      <c r="U17" s="280" t="s">
        <v>872</v>
      </c>
      <c r="V17" s="277" t="s">
        <v>911</v>
      </c>
      <c r="W17" s="250">
        <v>16</v>
      </c>
    </row>
    <row r="18" spans="1:23" ht="15.75" thickBot="1" x14ac:dyDescent="0.3">
      <c r="A18" s="169">
        <v>17</v>
      </c>
      <c r="B18" s="196" t="s">
        <v>882</v>
      </c>
      <c r="C18" s="167" t="s">
        <v>872</v>
      </c>
      <c r="D18" s="268"/>
      <c r="E18" s="112"/>
      <c r="F18" s="167"/>
      <c r="G18" s="167"/>
      <c r="H18" s="112"/>
      <c r="I18" s="112"/>
      <c r="J18" s="112"/>
      <c r="K18" s="112"/>
      <c r="L18" s="112"/>
      <c r="M18" s="278" t="s">
        <v>872</v>
      </c>
      <c r="N18" s="279" t="s">
        <v>911</v>
      </c>
      <c r="O18" s="279" t="s">
        <v>911</v>
      </c>
      <c r="P18" s="279" t="s">
        <v>911</v>
      </c>
      <c r="Q18" s="279" t="s">
        <v>911</v>
      </c>
      <c r="R18" s="279" t="s">
        <v>911</v>
      </c>
      <c r="S18" s="279" t="s">
        <v>911</v>
      </c>
      <c r="T18" s="279" t="s">
        <v>911</v>
      </c>
      <c r="U18" s="280" t="s">
        <v>872</v>
      </c>
      <c r="V18" s="277" t="s">
        <v>911</v>
      </c>
      <c r="W18" s="250">
        <v>17</v>
      </c>
    </row>
    <row r="19" spans="1:23" ht="16.5" thickTop="1" thickBot="1" x14ac:dyDescent="0.3">
      <c r="A19" s="169">
        <v>18</v>
      </c>
      <c r="B19" s="196" t="s">
        <v>882</v>
      </c>
      <c r="C19" s="167" t="s">
        <v>882</v>
      </c>
      <c r="D19" s="166" t="s">
        <v>872</v>
      </c>
      <c r="E19" s="166" t="s">
        <v>872</v>
      </c>
      <c r="F19" s="166" t="s">
        <v>872</v>
      </c>
      <c r="G19" s="166" t="s">
        <v>872</v>
      </c>
      <c r="H19" s="196"/>
      <c r="I19" s="167"/>
      <c r="J19" s="167"/>
      <c r="K19" s="167"/>
      <c r="L19" s="167"/>
      <c r="M19" s="278" t="s">
        <v>872</v>
      </c>
      <c r="N19" s="279" t="s">
        <v>911</v>
      </c>
      <c r="O19" s="279" t="s">
        <v>911</v>
      </c>
      <c r="P19" s="279" t="s">
        <v>911</v>
      </c>
      <c r="Q19" s="279" t="s">
        <v>911</v>
      </c>
      <c r="R19" s="280" t="s">
        <v>872</v>
      </c>
      <c r="S19" s="280" t="s">
        <v>872</v>
      </c>
      <c r="T19" s="280" t="s">
        <v>872</v>
      </c>
      <c r="U19" s="280" t="s">
        <v>872</v>
      </c>
      <c r="V19" s="277" t="s">
        <v>911</v>
      </c>
      <c r="W19" s="250">
        <v>18</v>
      </c>
    </row>
    <row r="20" spans="1:23" ht="16.5" thickTop="1" thickBot="1" x14ac:dyDescent="0.3">
      <c r="A20" s="169">
        <v>19</v>
      </c>
      <c r="B20" s="196" t="s">
        <v>882</v>
      </c>
      <c r="C20" s="167" t="s">
        <v>882</v>
      </c>
      <c r="D20" s="166" t="s">
        <v>862</v>
      </c>
      <c r="E20" s="251" t="s">
        <v>999</v>
      </c>
      <c r="F20" s="251" t="s">
        <v>999</v>
      </c>
      <c r="G20" s="253" t="s">
        <v>872</v>
      </c>
      <c r="H20" s="196"/>
      <c r="I20" s="167"/>
      <c r="J20" s="167"/>
      <c r="K20" s="167"/>
      <c r="L20" s="167"/>
      <c r="M20" s="278" t="s">
        <v>872</v>
      </c>
      <c r="N20" s="279" t="s">
        <v>911</v>
      </c>
      <c r="O20" s="279" t="s">
        <v>911</v>
      </c>
      <c r="P20" s="279" t="s">
        <v>911</v>
      </c>
      <c r="Q20" s="279" t="s">
        <v>911</v>
      </c>
      <c r="R20" s="280" t="s">
        <v>872</v>
      </c>
      <c r="S20" s="281" t="s">
        <v>1000</v>
      </c>
      <c r="T20" s="267" t="s">
        <v>872</v>
      </c>
      <c r="U20" s="281" t="s">
        <v>1001</v>
      </c>
      <c r="V20" s="277" t="s">
        <v>911</v>
      </c>
      <c r="W20" s="250">
        <v>19</v>
      </c>
    </row>
    <row r="21" spans="1:23" ht="16.5" thickTop="1" thickBot="1" x14ac:dyDescent="0.3">
      <c r="A21" s="169">
        <v>20</v>
      </c>
      <c r="B21" s="196" t="s">
        <v>882</v>
      </c>
      <c r="C21" s="282" t="s">
        <v>1002</v>
      </c>
      <c r="D21" s="197" t="s">
        <v>872</v>
      </c>
      <c r="E21" s="166" t="s">
        <v>872</v>
      </c>
      <c r="F21" s="166" t="s">
        <v>872</v>
      </c>
      <c r="G21" s="167" t="s">
        <v>872</v>
      </c>
      <c r="H21" s="196"/>
      <c r="I21" s="167"/>
      <c r="J21" s="167"/>
      <c r="K21" s="167"/>
      <c r="L21" s="167"/>
      <c r="M21" s="278" t="s">
        <v>872</v>
      </c>
      <c r="N21" s="279" t="s">
        <v>911</v>
      </c>
      <c r="O21" s="279" t="s">
        <v>911</v>
      </c>
      <c r="P21" s="279" t="s">
        <v>911</v>
      </c>
      <c r="Q21" s="279" t="s">
        <v>911</v>
      </c>
      <c r="R21" s="280" t="s">
        <v>872</v>
      </c>
      <c r="S21" s="270" t="s">
        <v>1000</v>
      </c>
      <c r="T21" s="267" t="s">
        <v>872</v>
      </c>
      <c r="U21" s="270" t="s">
        <v>1001</v>
      </c>
      <c r="V21" s="277" t="s">
        <v>911</v>
      </c>
      <c r="W21" s="250">
        <v>20</v>
      </c>
    </row>
    <row r="22" spans="1:23" ht="16.5" thickTop="1" thickBot="1" x14ac:dyDescent="0.3">
      <c r="A22" s="169">
        <v>21</v>
      </c>
      <c r="B22" s="196" t="s">
        <v>882</v>
      </c>
      <c r="C22" s="283" t="s">
        <v>1002</v>
      </c>
      <c r="D22" s="196" t="s">
        <v>872</v>
      </c>
      <c r="E22" s="197" t="s">
        <v>882</v>
      </c>
      <c r="F22" s="166" t="s">
        <v>882</v>
      </c>
      <c r="G22" s="166" t="s">
        <v>882</v>
      </c>
      <c r="H22" s="197" t="s">
        <v>872</v>
      </c>
      <c r="I22" s="166" t="s">
        <v>872</v>
      </c>
      <c r="J22" s="166" t="s">
        <v>872</v>
      </c>
      <c r="K22" s="166" t="s">
        <v>872</v>
      </c>
      <c r="L22" s="166" t="s">
        <v>872</v>
      </c>
      <c r="M22" s="280" t="s">
        <v>872</v>
      </c>
      <c r="N22" s="280" t="s">
        <v>872</v>
      </c>
      <c r="O22" s="280" t="s">
        <v>872</v>
      </c>
      <c r="P22" s="280" t="s">
        <v>872</v>
      </c>
      <c r="Q22" s="280" t="s">
        <v>872</v>
      </c>
      <c r="R22" s="280" t="s">
        <v>872</v>
      </c>
      <c r="S22" s="276" t="s">
        <v>868</v>
      </c>
      <c r="T22" s="280" t="s">
        <v>872</v>
      </c>
      <c r="U22" s="276" t="s">
        <v>868</v>
      </c>
      <c r="V22" s="277" t="s">
        <v>911</v>
      </c>
      <c r="W22" s="250">
        <v>21</v>
      </c>
    </row>
    <row r="23" spans="1:23" ht="16.5" thickTop="1" thickBot="1" x14ac:dyDescent="0.3">
      <c r="A23" s="169">
        <v>22</v>
      </c>
      <c r="B23" s="196" t="s">
        <v>882</v>
      </c>
      <c r="C23" s="197" t="s">
        <v>872</v>
      </c>
      <c r="D23" s="167" t="s">
        <v>872</v>
      </c>
      <c r="E23" s="196" t="s">
        <v>882</v>
      </c>
      <c r="F23" s="167" t="s">
        <v>882</v>
      </c>
      <c r="G23" s="167" t="s">
        <v>882</v>
      </c>
      <c r="H23" s="166" t="s">
        <v>882</v>
      </c>
      <c r="I23" s="166" t="s">
        <v>882</v>
      </c>
      <c r="J23" s="166" t="s">
        <v>882</v>
      </c>
      <c r="K23" s="166" t="s">
        <v>882</v>
      </c>
      <c r="L23" s="166" t="s">
        <v>882</v>
      </c>
      <c r="M23" s="284" t="s">
        <v>882</v>
      </c>
      <c r="N23" s="284" t="s">
        <v>882</v>
      </c>
      <c r="O23" s="284" t="s">
        <v>882</v>
      </c>
      <c r="P23" s="284" t="s">
        <v>911</v>
      </c>
      <c r="Q23" s="284" t="s">
        <v>911</v>
      </c>
      <c r="R23" s="284" t="s">
        <v>911</v>
      </c>
      <c r="S23" s="284" t="s">
        <v>882</v>
      </c>
      <c r="T23" s="284" t="s">
        <v>882</v>
      </c>
      <c r="U23" s="284" t="s">
        <v>911</v>
      </c>
      <c r="V23" s="263" t="s">
        <v>911</v>
      </c>
      <c r="W23" s="250">
        <v>22</v>
      </c>
    </row>
    <row r="24" spans="1:23" ht="16.5" thickTop="1" thickBot="1" x14ac:dyDescent="0.3">
      <c r="A24" s="243" t="s">
        <v>972</v>
      </c>
      <c r="B24" s="244">
        <v>1</v>
      </c>
      <c r="C24" s="245">
        <v>2</v>
      </c>
      <c r="D24" s="245">
        <v>3</v>
      </c>
      <c r="E24" s="246">
        <v>4</v>
      </c>
      <c r="F24" s="246">
        <v>5</v>
      </c>
      <c r="G24" s="246">
        <v>6</v>
      </c>
      <c r="H24" s="246">
        <v>7</v>
      </c>
      <c r="I24" s="246">
        <v>8</v>
      </c>
      <c r="J24" s="246">
        <v>9</v>
      </c>
      <c r="K24" s="246">
        <v>10</v>
      </c>
      <c r="L24" s="246">
        <v>11</v>
      </c>
      <c r="M24" s="246">
        <v>12</v>
      </c>
      <c r="N24" s="246">
        <v>13</v>
      </c>
      <c r="O24" s="246">
        <v>14</v>
      </c>
      <c r="P24" s="246">
        <v>15</v>
      </c>
      <c r="Q24" s="246">
        <v>16</v>
      </c>
      <c r="R24" s="246">
        <v>17</v>
      </c>
      <c r="S24" s="246">
        <v>18</v>
      </c>
      <c r="T24" s="246">
        <v>19</v>
      </c>
      <c r="U24" s="246">
        <v>20</v>
      </c>
      <c r="V24" s="246">
        <v>21</v>
      </c>
      <c r="W24" s="248" t="s">
        <v>972</v>
      </c>
    </row>
    <row r="25" spans="1:23" ht="15.75" thickTop="1" x14ac:dyDescent="0.25">
      <c r="I25" s="73"/>
      <c r="L25" s="73"/>
      <c r="O25" s="73"/>
    </row>
    <row r="26" spans="1:23" x14ac:dyDescent="0.25">
      <c r="I26" s="110" t="s">
        <v>994</v>
      </c>
      <c r="J26" s="111"/>
      <c r="K26" s="111"/>
      <c r="L26" s="111"/>
      <c r="M26" s="111"/>
      <c r="N26" s="111"/>
      <c r="O26" s="111"/>
    </row>
  </sheetData>
  <mergeCells count="1">
    <mergeCell ref="I26:O26"/>
  </mergeCells>
  <phoneticPr fontId="16" type="noConversion"/>
  <pageMargins left="0.7" right="0.7" top="0.75" bottom="0.75" header="0.3" footer="0.3"/>
  <pageSetup orientation="portrait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8FFE6-1825-430C-B64E-A5FE7059DB22}">
  <sheetPr codeName="Sheet17"/>
  <dimension ref="A1:W26"/>
  <sheetViews>
    <sheetView workbookViewId="0"/>
  </sheetViews>
  <sheetFormatPr defaultRowHeight="15" x14ac:dyDescent="0.25"/>
  <cols>
    <col min="1" max="1" width="7.7109375" style="24" customWidth="1"/>
    <col min="2" max="9" width="4.42578125" style="24" bestFit="1" customWidth="1"/>
    <col min="10" max="10" width="4.140625" style="24" customWidth="1"/>
    <col min="11" max="22" width="5.140625" style="24" customWidth="1"/>
    <col min="23" max="23" width="9.5703125" style="24" bestFit="1" customWidth="1"/>
  </cols>
  <sheetData>
    <row r="1" spans="1:23" ht="16.5" thickTop="1" thickBot="1" x14ac:dyDescent="0.3">
      <c r="A1" s="156" t="s">
        <v>972</v>
      </c>
      <c r="B1" s="98" t="s">
        <v>276</v>
      </c>
      <c r="C1" s="99" t="s">
        <v>973</v>
      </c>
      <c r="D1" s="99" t="s">
        <v>362</v>
      </c>
      <c r="E1" s="99" t="s">
        <v>310</v>
      </c>
      <c r="F1" s="99" t="s">
        <v>974</v>
      </c>
      <c r="G1" s="99" t="s">
        <v>355</v>
      </c>
      <c r="H1" s="99" t="s">
        <v>363</v>
      </c>
      <c r="I1" s="99" t="s">
        <v>371</v>
      </c>
      <c r="J1" s="99" t="s">
        <v>229</v>
      </c>
      <c r="K1" s="99" t="s">
        <v>289</v>
      </c>
      <c r="L1" s="99" t="s">
        <v>230</v>
      </c>
      <c r="M1" s="99" t="s">
        <v>290</v>
      </c>
      <c r="N1" s="99" t="s">
        <v>376</v>
      </c>
      <c r="O1" s="99" t="s">
        <v>296</v>
      </c>
      <c r="P1" s="99" t="s">
        <v>975</v>
      </c>
      <c r="Q1" s="99" t="s">
        <v>976</v>
      </c>
      <c r="R1" s="99" t="s">
        <v>329</v>
      </c>
      <c r="S1" s="99" t="s">
        <v>977</v>
      </c>
      <c r="T1" s="99" t="s">
        <v>978</v>
      </c>
      <c r="U1" s="99" t="s">
        <v>979</v>
      </c>
      <c r="V1" s="99" t="s">
        <v>980</v>
      </c>
      <c r="W1" s="157" t="s">
        <v>981</v>
      </c>
    </row>
    <row r="2" spans="1:23" ht="15.75" thickTop="1" x14ac:dyDescent="0.25">
      <c r="A2" s="158">
        <v>1</v>
      </c>
      <c r="B2" s="167"/>
      <c r="C2" s="167"/>
      <c r="D2" s="167"/>
      <c r="E2" s="167"/>
      <c r="F2" s="167"/>
      <c r="G2" s="167"/>
      <c r="H2" s="167"/>
      <c r="I2" s="167"/>
      <c r="J2" s="167"/>
      <c r="K2" s="167"/>
      <c r="L2" s="167"/>
      <c r="M2" s="167"/>
      <c r="N2" s="167"/>
      <c r="O2" s="167"/>
      <c r="P2" s="167"/>
      <c r="Q2" s="167"/>
      <c r="R2" s="167"/>
      <c r="S2" s="167"/>
      <c r="T2" s="167"/>
      <c r="U2" s="167"/>
      <c r="V2" s="167"/>
      <c r="W2" s="249">
        <v>1</v>
      </c>
    </row>
    <row r="3" spans="1:23" x14ac:dyDescent="0.25">
      <c r="A3" s="169">
        <v>2</v>
      </c>
      <c r="B3" s="167"/>
      <c r="C3" s="167"/>
      <c r="D3" s="167"/>
      <c r="E3" s="167"/>
      <c r="F3" s="167"/>
      <c r="G3" s="167"/>
      <c r="H3" s="167"/>
      <c r="I3" s="167"/>
      <c r="J3" s="167"/>
      <c r="K3" s="167"/>
      <c r="L3" s="167"/>
      <c r="M3" s="167"/>
      <c r="N3" s="167"/>
      <c r="O3" s="167"/>
      <c r="P3" s="167"/>
      <c r="Q3" s="167"/>
      <c r="R3" s="167"/>
      <c r="S3" s="167"/>
      <c r="T3" s="167"/>
      <c r="U3" s="167"/>
      <c r="V3" s="167"/>
      <c r="W3" s="250">
        <v>2</v>
      </c>
    </row>
    <row r="4" spans="1:23" x14ac:dyDescent="0.25">
      <c r="A4" s="169">
        <v>3</v>
      </c>
      <c r="B4" s="167"/>
      <c r="C4" s="167"/>
      <c r="D4" s="167"/>
      <c r="E4" s="167"/>
      <c r="F4" s="167"/>
      <c r="G4" s="167"/>
      <c r="H4" s="167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250">
        <v>3</v>
      </c>
    </row>
    <row r="5" spans="1:23" x14ac:dyDescent="0.25">
      <c r="A5" s="169">
        <v>4</v>
      </c>
      <c r="B5" s="167"/>
      <c r="C5" s="167"/>
      <c r="D5" s="167"/>
      <c r="E5" s="167"/>
      <c r="F5" s="167"/>
      <c r="G5" s="167"/>
      <c r="H5" s="167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250">
        <v>4</v>
      </c>
    </row>
    <row r="6" spans="1:23" x14ac:dyDescent="0.25">
      <c r="A6" s="169">
        <v>5</v>
      </c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250">
        <v>5</v>
      </c>
    </row>
    <row r="7" spans="1:23" x14ac:dyDescent="0.25">
      <c r="A7" s="169">
        <v>6</v>
      </c>
      <c r="B7" s="167"/>
      <c r="C7" s="167"/>
      <c r="D7" s="167"/>
      <c r="E7" s="167"/>
      <c r="F7" s="167"/>
      <c r="G7" s="167"/>
      <c r="H7" s="167"/>
      <c r="I7" s="167"/>
      <c r="J7" s="167"/>
      <c r="K7" s="167"/>
      <c r="L7" s="167"/>
      <c r="M7" s="167"/>
      <c r="N7" s="167"/>
      <c r="O7" s="167"/>
      <c r="P7" s="167"/>
      <c r="Q7" s="167"/>
      <c r="R7" s="167"/>
      <c r="S7" s="167"/>
      <c r="T7" s="167"/>
      <c r="U7" s="167"/>
      <c r="V7" s="167"/>
      <c r="W7" s="250">
        <v>6</v>
      </c>
    </row>
    <row r="8" spans="1:23" x14ac:dyDescent="0.25">
      <c r="A8" s="169">
        <v>7</v>
      </c>
      <c r="B8" s="167"/>
      <c r="C8" s="167"/>
      <c r="D8" s="167"/>
      <c r="E8" s="167"/>
      <c r="F8" s="167"/>
      <c r="G8" s="167"/>
      <c r="H8" s="167"/>
      <c r="I8" s="167"/>
      <c r="J8" s="167"/>
      <c r="K8" s="167"/>
      <c r="L8" s="167"/>
      <c r="M8" s="167"/>
      <c r="N8" s="167"/>
      <c r="O8" s="167"/>
      <c r="P8" s="167"/>
      <c r="Q8" s="167"/>
      <c r="R8" s="167"/>
      <c r="S8" s="167"/>
      <c r="T8" s="167"/>
      <c r="U8" s="167"/>
      <c r="V8" s="167"/>
      <c r="W8" s="250">
        <v>7</v>
      </c>
    </row>
    <row r="9" spans="1:23" x14ac:dyDescent="0.25">
      <c r="A9" s="169">
        <v>8</v>
      </c>
      <c r="B9" s="167"/>
      <c r="C9" s="167"/>
      <c r="D9" s="167"/>
      <c r="E9" s="167"/>
      <c r="F9" s="167"/>
      <c r="G9" s="167"/>
      <c r="H9" s="167"/>
      <c r="I9" s="167"/>
      <c r="J9" s="167"/>
      <c r="K9" s="167"/>
      <c r="L9" s="167"/>
      <c r="M9" s="167"/>
      <c r="N9" s="167"/>
      <c r="O9" s="167"/>
      <c r="P9" s="167"/>
      <c r="Q9" s="167"/>
      <c r="R9" s="167"/>
      <c r="S9" s="167"/>
      <c r="T9" s="167"/>
      <c r="U9" s="167"/>
      <c r="V9" s="167"/>
      <c r="W9" s="250">
        <v>8</v>
      </c>
    </row>
    <row r="10" spans="1:23" x14ac:dyDescent="0.25">
      <c r="A10" s="169">
        <v>9</v>
      </c>
      <c r="B10" s="167"/>
      <c r="C10" s="167"/>
      <c r="D10" s="167"/>
      <c r="E10" s="167"/>
      <c r="F10" s="167"/>
      <c r="G10" s="167"/>
      <c r="H10" s="167"/>
      <c r="I10" s="167"/>
      <c r="J10" s="167"/>
      <c r="K10" s="167"/>
      <c r="L10" s="167"/>
      <c r="M10" s="167"/>
      <c r="N10" s="167"/>
      <c r="O10" s="167"/>
      <c r="P10" s="167"/>
      <c r="Q10" s="167"/>
      <c r="R10" s="167"/>
      <c r="S10" s="167"/>
      <c r="T10" s="167"/>
      <c r="U10" s="167"/>
      <c r="V10" s="167"/>
      <c r="W10" s="250">
        <v>9</v>
      </c>
    </row>
    <row r="11" spans="1:23" x14ac:dyDescent="0.25">
      <c r="A11" s="169">
        <v>10</v>
      </c>
      <c r="B11" s="167"/>
      <c r="C11" s="167"/>
      <c r="D11" s="167"/>
      <c r="E11" s="167"/>
      <c r="F11" s="167"/>
      <c r="G11" s="167"/>
      <c r="H11" s="167"/>
      <c r="I11" s="167"/>
      <c r="J11" s="167"/>
      <c r="K11" s="167"/>
      <c r="L11" s="167"/>
      <c r="M11" s="167"/>
      <c r="N11" s="167"/>
      <c r="O11" s="167"/>
      <c r="P11" s="167"/>
      <c r="Q11" s="167"/>
      <c r="R11" s="167"/>
      <c r="S11" s="167"/>
      <c r="T11" s="167"/>
      <c r="U11" s="167"/>
      <c r="V11" s="167"/>
      <c r="W11" s="250">
        <v>10</v>
      </c>
    </row>
    <row r="12" spans="1:23" x14ac:dyDescent="0.25">
      <c r="A12" s="169">
        <v>11</v>
      </c>
      <c r="B12" s="167"/>
      <c r="C12" s="167"/>
      <c r="D12" s="167"/>
      <c r="E12" s="167"/>
      <c r="F12" s="167"/>
      <c r="G12" s="167"/>
      <c r="H12" s="167"/>
      <c r="I12" s="167"/>
      <c r="J12" s="167"/>
      <c r="K12" s="167"/>
      <c r="L12" s="167"/>
      <c r="M12" s="167"/>
      <c r="N12" s="167"/>
      <c r="O12" s="167"/>
      <c r="P12" s="167"/>
      <c r="Q12" s="167"/>
      <c r="R12" s="167"/>
      <c r="S12" s="167"/>
      <c r="T12" s="167"/>
      <c r="U12" s="167"/>
      <c r="V12" s="167"/>
      <c r="W12" s="250">
        <v>11</v>
      </c>
    </row>
    <row r="13" spans="1:23" x14ac:dyDescent="0.25">
      <c r="A13" s="169">
        <v>12</v>
      </c>
      <c r="B13" s="167"/>
      <c r="C13" s="167"/>
      <c r="D13" s="167"/>
      <c r="E13" s="167"/>
      <c r="F13" s="167"/>
      <c r="G13" s="167"/>
      <c r="H13" s="167"/>
      <c r="I13" s="167"/>
      <c r="J13" s="167"/>
      <c r="K13" s="167"/>
      <c r="L13" s="167"/>
      <c r="M13" s="167"/>
      <c r="N13" s="167"/>
      <c r="O13" s="167"/>
      <c r="P13" s="167"/>
      <c r="Q13" s="167"/>
      <c r="R13" s="167"/>
      <c r="S13" s="167"/>
      <c r="T13" s="167"/>
      <c r="U13" s="167"/>
      <c r="V13" s="167"/>
      <c r="W13" s="250">
        <v>12</v>
      </c>
    </row>
    <row r="14" spans="1:23" x14ac:dyDescent="0.25">
      <c r="A14" s="169">
        <v>13</v>
      </c>
      <c r="B14" s="167"/>
      <c r="C14" s="167"/>
      <c r="D14" s="167"/>
      <c r="E14" s="167"/>
      <c r="F14" s="167"/>
      <c r="G14" s="167"/>
      <c r="H14" s="167"/>
      <c r="I14" s="167"/>
      <c r="J14" s="167"/>
      <c r="K14" s="167"/>
      <c r="L14" s="167"/>
      <c r="M14" s="167"/>
      <c r="N14" s="167"/>
      <c r="O14" s="167"/>
      <c r="P14" s="167"/>
      <c r="Q14" s="167"/>
      <c r="R14" s="167"/>
      <c r="S14" s="167"/>
      <c r="T14" s="167"/>
      <c r="U14" s="167"/>
      <c r="V14" s="167"/>
      <c r="W14" s="250">
        <v>13</v>
      </c>
    </row>
    <row r="15" spans="1:23" x14ac:dyDescent="0.25">
      <c r="A15" s="169">
        <v>14</v>
      </c>
      <c r="B15" s="167"/>
      <c r="C15" s="167"/>
      <c r="D15" s="167"/>
      <c r="E15" s="167"/>
      <c r="F15" s="167"/>
      <c r="G15" s="167"/>
      <c r="H15" s="167"/>
      <c r="I15" s="167"/>
      <c r="J15" s="167"/>
      <c r="K15" s="167"/>
      <c r="L15" s="167"/>
      <c r="M15" s="167"/>
      <c r="N15" s="167"/>
      <c r="O15" s="167"/>
      <c r="P15" s="167"/>
      <c r="Q15" s="167"/>
      <c r="R15" s="167"/>
      <c r="S15" s="167"/>
      <c r="T15" s="167"/>
      <c r="U15" s="167"/>
      <c r="V15" s="167"/>
      <c r="W15" s="250">
        <v>14</v>
      </c>
    </row>
    <row r="16" spans="1:23" x14ac:dyDescent="0.25">
      <c r="A16" s="169">
        <v>15</v>
      </c>
      <c r="B16" s="167"/>
      <c r="C16" s="167"/>
      <c r="D16" s="167"/>
      <c r="E16" s="167"/>
      <c r="F16" s="167"/>
      <c r="G16" s="167"/>
      <c r="H16" s="167"/>
      <c r="I16" s="167"/>
      <c r="J16" s="167"/>
      <c r="K16" s="167"/>
      <c r="L16" s="167"/>
      <c r="M16" s="167"/>
      <c r="N16" s="167"/>
      <c r="O16" s="167"/>
      <c r="P16" s="167"/>
      <c r="Q16" s="167"/>
      <c r="R16" s="167"/>
      <c r="S16" s="167"/>
      <c r="T16" s="167"/>
      <c r="U16" s="167"/>
      <c r="V16" s="167"/>
      <c r="W16" s="250">
        <v>15</v>
      </c>
    </row>
    <row r="17" spans="1:23" x14ac:dyDescent="0.25">
      <c r="A17" s="169">
        <v>16</v>
      </c>
      <c r="B17" s="167"/>
      <c r="C17" s="167"/>
      <c r="D17" s="167"/>
      <c r="E17" s="167"/>
      <c r="F17" s="167"/>
      <c r="G17" s="167"/>
      <c r="H17" s="167"/>
      <c r="I17" s="167"/>
      <c r="J17" s="167"/>
      <c r="K17" s="167"/>
      <c r="L17" s="167"/>
      <c r="M17" s="167"/>
      <c r="N17" s="167"/>
      <c r="O17" s="167"/>
      <c r="P17" s="167"/>
      <c r="Q17" s="167"/>
      <c r="R17" s="167"/>
      <c r="S17" s="167"/>
      <c r="T17" s="167"/>
      <c r="U17" s="167"/>
      <c r="V17" s="167"/>
      <c r="W17" s="250">
        <v>16</v>
      </c>
    </row>
    <row r="18" spans="1:23" x14ac:dyDescent="0.25">
      <c r="A18" s="169">
        <v>17</v>
      </c>
      <c r="B18" s="167"/>
      <c r="C18" s="167"/>
      <c r="D18" s="167"/>
      <c r="E18" s="167"/>
      <c r="F18" s="167"/>
      <c r="G18" s="167"/>
      <c r="H18" s="167"/>
      <c r="I18" s="167"/>
      <c r="J18" s="167"/>
      <c r="K18" s="167"/>
      <c r="L18" s="167"/>
      <c r="M18" s="167"/>
      <c r="N18" s="167"/>
      <c r="O18" s="167"/>
      <c r="P18" s="167"/>
      <c r="Q18" s="167"/>
      <c r="R18" s="167"/>
      <c r="S18" s="167"/>
      <c r="T18" s="167"/>
      <c r="U18" s="167"/>
      <c r="V18" s="167"/>
      <c r="W18" s="250">
        <v>17</v>
      </c>
    </row>
    <row r="19" spans="1:23" x14ac:dyDescent="0.25">
      <c r="A19" s="169">
        <v>18</v>
      </c>
      <c r="B19" s="167"/>
      <c r="C19" s="167"/>
      <c r="D19" s="167"/>
      <c r="E19" s="167"/>
      <c r="F19" s="167"/>
      <c r="G19" s="167"/>
      <c r="H19" s="167"/>
      <c r="I19" s="167"/>
      <c r="J19" s="167"/>
      <c r="K19" s="167"/>
      <c r="L19" s="167"/>
      <c r="M19" s="167"/>
      <c r="N19" s="167"/>
      <c r="O19" s="167"/>
      <c r="P19" s="167"/>
      <c r="Q19" s="167"/>
      <c r="R19" s="167"/>
      <c r="S19" s="167"/>
      <c r="T19" s="167"/>
      <c r="U19" s="167"/>
      <c r="V19" s="167"/>
      <c r="W19" s="250">
        <v>18</v>
      </c>
    </row>
    <row r="20" spans="1:23" x14ac:dyDescent="0.25">
      <c r="A20" s="169">
        <v>19</v>
      </c>
      <c r="B20" s="167"/>
      <c r="C20" s="167"/>
      <c r="D20" s="167"/>
      <c r="E20" s="167"/>
      <c r="F20" s="167"/>
      <c r="G20" s="167"/>
      <c r="H20" s="167"/>
      <c r="I20" s="167"/>
      <c r="J20" s="167"/>
      <c r="K20" s="167"/>
      <c r="L20" s="167"/>
      <c r="M20" s="167"/>
      <c r="N20" s="167"/>
      <c r="O20" s="167"/>
      <c r="P20" s="167"/>
      <c r="Q20" s="167"/>
      <c r="R20" s="167"/>
      <c r="S20" s="167"/>
      <c r="T20" s="167"/>
      <c r="U20" s="167"/>
      <c r="V20" s="167"/>
      <c r="W20" s="250">
        <v>19</v>
      </c>
    </row>
    <row r="21" spans="1:23" x14ac:dyDescent="0.25">
      <c r="A21" s="169">
        <v>20</v>
      </c>
      <c r="B21" s="167"/>
      <c r="C21" s="167"/>
      <c r="D21" s="167"/>
      <c r="E21" s="167"/>
      <c r="F21" s="167"/>
      <c r="G21" s="167"/>
      <c r="H21" s="167"/>
      <c r="I21" s="167"/>
      <c r="J21" s="167"/>
      <c r="K21" s="167"/>
      <c r="L21" s="167"/>
      <c r="M21" s="167"/>
      <c r="N21" s="167"/>
      <c r="O21" s="167"/>
      <c r="P21" s="167"/>
      <c r="Q21" s="167"/>
      <c r="R21" s="167"/>
      <c r="S21" s="167"/>
      <c r="T21" s="167"/>
      <c r="U21" s="167"/>
      <c r="V21" s="167"/>
      <c r="W21" s="250">
        <v>20</v>
      </c>
    </row>
    <row r="22" spans="1:23" x14ac:dyDescent="0.25">
      <c r="A22" s="169">
        <v>21</v>
      </c>
      <c r="B22" s="167"/>
      <c r="C22" s="167"/>
      <c r="D22" s="167"/>
      <c r="E22" s="167"/>
      <c r="F22" s="167"/>
      <c r="G22" s="167"/>
      <c r="H22" s="167"/>
      <c r="I22" s="167"/>
      <c r="J22" s="167"/>
      <c r="K22" s="167"/>
      <c r="L22" s="167"/>
      <c r="M22" s="167"/>
      <c r="N22" s="167"/>
      <c r="O22" s="167"/>
      <c r="P22" s="167"/>
      <c r="Q22" s="167"/>
      <c r="R22" s="167"/>
      <c r="S22" s="167"/>
      <c r="T22" s="167"/>
      <c r="U22" s="167"/>
      <c r="V22" s="167"/>
      <c r="W22" s="250">
        <v>21</v>
      </c>
    </row>
    <row r="23" spans="1:23" ht="15.75" thickBot="1" x14ac:dyDescent="0.3">
      <c r="A23" s="169">
        <v>22</v>
      </c>
      <c r="B23" s="167"/>
      <c r="C23" s="167"/>
      <c r="D23" s="167"/>
      <c r="E23" s="167"/>
      <c r="F23" s="167"/>
      <c r="G23" s="167"/>
      <c r="H23" s="167"/>
      <c r="I23" s="167"/>
      <c r="J23" s="167"/>
      <c r="K23" s="112"/>
      <c r="L23" s="112"/>
      <c r="M23" s="167"/>
      <c r="N23" s="167"/>
      <c r="O23" s="167"/>
      <c r="P23" s="167"/>
      <c r="Q23" s="167"/>
      <c r="R23" s="167"/>
      <c r="S23" s="167"/>
      <c r="T23" s="167"/>
      <c r="U23" s="167"/>
      <c r="V23" s="167"/>
      <c r="W23" s="250">
        <v>22</v>
      </c>
    </row>
    <row r="24" spans="1:23" ht="16.5" thickTop="1" thickBot="1" x14ac:dyDescent="0.3">
      <c r="A24" s="243" t="s">
        <v>972</v>
      </c>
      <c r="B24" s="262">
        <v>1</v>
      </c>
      <c r="C24" s="246">
        <v>2</v>
      </c>
      <c r="D24" s="246">
        <v>3</v>
      </c>
      <c r="E24" s="246">
        <v>4</v>
      </c>
      <c r="F24" s="246">
        <v>5</v>
      </c>
      <c r="G24" s="246">
        <v>6</v>
      </c>
      <c r="H24" s="246">
        <v>7</v>
      </c>
      <c r="I24" s="246">
        <v>8</v>
      </c>
      <c r="J24" s="246">
        <v>9</v>
      </c>
      <c r="K24" s="246">
        <v>10</v>
      </c>
      <c r="L24" s="246">
        <v>11</v>
      </c>
      <c r="M24" s="246">
        <v>12</v>
      </c>
      <c r="N24" s="246">
        <v>13</v>
      </c>
      <c r="O24" s="246">
        <v>14</v>
      </c>
      <c r="P24" s="246">
        <v>15</v>
      </c>
      <c r="Q24" s="246">
        <v>16</v>
      </c>
      <c r="R24" s="246">
        <v>17</v>
      </c>
      <c r="S24" s="246">
        <v>18</v>
      </c>
      <c r="T24" s="246">
        <v>19</v>
      </c>
      <c r="U24" s="246">
        <v>20</v>
      </c>
      <c r="V24" s="246">
        <v>21</v>
      </c>
      <c r="W24" s="248" t="s">
        <v>972</v>
      </c>
    </row>
    <row r="25" spans="1:23" ht="15.75" thickTop="1" x14ac:dyDescent="0.25">
      <c r="I25" s="73"/>
      <c r="L25" s="73"/>
      <c r="O25" s="73"/>
    </row>
    <row r="26" spans="1:23" x14ac:dyDescent="0.25">
      <c r="I26" s="110" t="s">
        <v>994</v>
      </c>
      <c r="J26" s="111"/>
      <c r="K26" s="111"/>
      <c r="L26" s="111"/>
      <c r="M26" s="111"/>
      <c r="N26" s="111"/>
      <c r="O26" s="111"/>
    </row>
  </sheetData>
  <mergeCells count="1">
    <mergeCell ref="I26:O26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1E3DF-C3DC-4FBE-95E4-EB0AC6E36CB4}">
  <sheetPr codeName="Sheet18"/>
  <dimension ref="A1:X17"/>
  <sheetViews>
    <sheetView workbookViewId="0">
      <selection sqref="A1:A16"/>
    </sheetView>
  </sheetViews>
  <sheetFormatPr defaultRowHeight="15" x14ac:dyDescent="0.25"/>
  <cols>
    <col min="2" max="2" width="10.140625" style="24" bestFit="1" customWidth="1"/>
    <col min="3" max="11" width="6.5703125" style="24" bestFit="1" customWidth="1"/>
    <col min="12" max="20" width="7.5703125" style="24" bestFit="1" customWidth="1"/>
    <col min="21" max="21" width="8.5703125" style="24" bestFit="1" customWidth="1"/>
    <col min="22" max="24" width="7.5703125" style="24" bestFit="1" customWidth="1"/>
  </cols>
  <sheetData>
    <row r="1" spans="1:24" ht="16.5" thickTop="1" thickBot="1" x14ac:dyDescent="0.3">
      <c r="A1" s="291" t="s">
        <v>994</v>
      </c>
      <c r="B1" s="287" t="s">
        <v>919</v>
      </c>
      <c r="C1" s="98" t="s">
        <v>276</v>
      </c>
      <c r="D1" s="99" t="s">
        <v>973</v>
      </c>
      <c r="E1" s="99" t="s">
        <v>362</v>
      </c>
      <c r="F1" s="99" t="s">
        <v>310</v>
      </c>
      <c r="G1" s="99" t="s">
        <v>974</v>
      </c>
      <c r="H1" s="99" t="s">
        <v>355</v>
      </c>
      <c r="I1" s="99" t="s">
        <v>363</v>
      </c>
      <c r="J1" s="99" t="s">
        <v>371</v>
      </c>
      <c r="K1" s="99" t="s">
        <v>229</v>
      </c>
      <c r="L1" s="99" t="s">
        <v>289</v>
      </c>
      <c r="M1" s="99" t="s">
        <v>230</v>
      </c>
      <c r="N1" s="99" t="s">
        <v>290</v>
      </c>
      <c r="O1" s="99" t="s">
        <v>376</v>
      </c>
      <c r="P1" s="99" t="s">
        <v>296</v>
      </c>
      <c r="Q1" s="99" t="s">
        <v>975</v>
      </c>
      <c r="R1" s="99" t="s">
        <v>976</v>
      </c>
      <c r="S1" s="99" t="s">
        <v>329</v>
      </c>
      <c r="T1" s="99" t="s">
        <v>977</v>
      </c>
      <c r="U1" s="99" t="s">
        <v>978</v>
      </c>
      <c r="V1" s="99" t="s">
        <v>979</v>
      </c>
      <c r="W1" s="99" t="s">
        <v>980</v>
      </c>
      <c r="X1" s="285" t="s">
        <v>1003</v>
      </c>
    </row>
    <row r="2" spans="1:24" ht="15.75" thickTop="1" x14ac:dyDescent="0.25">
      <c r="A2" s="291"/>
      <c r="B2" s="288">
        <v>15</v>
      </c>
      <c r="C2" s="167"/>
      <c r="D2" s="167"/>
      <c r="E2" s="167"/>
      <c r="F2" s="167"/>
      <c r="G2" s="167"/>
      <c r="H2" s="167"/>
      <c r="I2" s="167"/>
      <c r="J2" s="167"/>
      <c r="K2" s="167"/>
      <c r="L2" s="167"/>
      <c r="M2" s="167"/>
      <c r="N2" s="167"/>
      <c r="O2" s="167"/>
      <c r="P2" s="167"/>
      <c r="Q2" s="167"/>
      <c r="R2" s="167"/>
      <c r="S2" s="167"/>
      <c r="T2" s="167"/>
      <c r="U2" s="167"/>
      <c r="V2" s="167"/>
      <c r="W2" s="167"/>
      <c r="X2" s="286"/>
    </row>
    <row r="3" spans="1:24" x14ac:dyDescent="0.25">
      <c r="A3" s="291"/>
      <c r="B3" s="289">
        <v>14</v>
      </c>
      <c r="C3" s="167"/>
      <c r="D3" s="167"/>
      <c r="E3" s="167"/>
      <c r="F3" s="167"/>
      <c r="G3" s="167"/>
      <c r="H3" s="167"/>
      <c r="I3" s="167"/>
      <c r="J3" s="167"/>
      <c r="K3" s="167"/>
      <c r="L3" s="167"/>
      <c r="M3" s="167"/>
      <c r="N3" s="167"/>
      <c r="O3" s="167"/>
      <c r="P3" s="167"/>
      <c r="Q3" s="167"/>
      <c r="R3" s="167"/>
      <c r="S3" s="167"/>
      <c r="T3" s="167"/>
      <c r="U3" s="167"/>
      <c r="V3" s="167"/>
      <c r="W3" s="167"/>
      <c r="X3" s="286"/>
    </row>
    <row r="4" spans="1:24" x14ac:dyDescent="0.25">
      <c r="A4" s="291"/>
      <c r="B4" s="289">
        <v>13</v>
      </c>
      <c r="C4" s="167"/>
      <c r="D4" s="167"/>
      <c r="E4" s="167"/>
      <c r="F4" s="167"/>
      <c r="G4" s="167"/>
      <c r="H4" s="167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286"/>
    </row>
    <row r="5" spans="1:24" x14ac:dyDescent="0.25">
      <c r="A5" s="291"/>
      <c r="B5" s="289">
        <v>12</v>
      </c>
      <c r="C5" s="167"/>
      <c r="D5" s="167"/>
      <c r="E5" s="167"/>
      <c r="F5" s="167"/>
      <c r="G5" s="167"/>
      <c r="H5" s="167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286"/>
    </row>
    <row r="6" spans="1:24" x14ac:dyDescent="0.25">
      <c r="A6" s="291"/>
      <c r="B6" s="289">
        <v>11</v>
      </c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7"/>
      <c r="X6" s="286"/>
    </row>
    <row r="7" spans="1:24" x14ac:dyDescent="0.25">
      <c r="A7" s="291"/>
      <c r="B7" s="289">
        <v>10</v>
      </c>
      <c r="C7" s="167"/>
      <c r="D7" s="167"/>
      <c r="E7" s="167"/>
      <c r="F7" s="167"/>
      <c r="G7" s="167"/>
      <c r="H7" s="167"/>
      <c r="I7" s="167"/>
      <c r="J7" s="167"/>
      <c r="K7" s="167"/>
      <c r="L7" s="167"/>
      <c r="M7" s="167"/>
      <c r="N7" s="167"/>
      <c r="O7" s="167"/>
      <c r="P7" s="167"/>
      <c r="Q7" s="167"/>
      <c r="R7" s="167"/>
      <c r="S7" s="167"/>
      <c r="T7" s="167"/>
      <c r="U7" s="167"/>
      <c r="V7" s="167"/>
      <c r="W7" s="167"/>
      <c r="X7" s="286"/>
    </row>
    <row r="8" spans="1:24" x14ac:dyDescent="0.25">
      <c r="A8" s="291"/>
      <c r="B8" s="289">
        <v>9</v>
      </c>
      <c r="C8" s="167"/>
      <c r="D8" s="167"/>
      <c r="E8" s="167"/>
      <c r="F8" s="167"/>
      <c r="G8" s="167"/>
      <c r="H8" s="167"/>
      <c r="I8" s="167"/>
      <c r="J8" s="167"/>
      <c r="K8" s="167"/>
      <c r="L8" s="167"/>
      <c r="M8" s="167"/>
      <c r="N8" s="167"/>
      <c r="O8" s="167"/>
      <c r="P8" s="167"/>
      <c r="Q8" s="167"/>
      <c r="R8" s="167"/>
      <c r="S8" s="167"/>
      <c r="T8" s="167"/>
      <c r="U8" s="167"/>
      <c r="V8" s="167"/>
      <c r="W8" s="167"/>
      <c r="X8" s="286"/>
    </row>
    <row r="9" spans="1:24" x14ac:dyDescent="0.25">
      <c r="A9" s="291"/>
      <c r="B9" s="289">
        <v>8</v>
      </c>
      <c r="C9" s="167"/>
      <c r="D9" s="167"/>
      <c r="E9" s="167"/>
      <c r="F9" s="167"/>
      <c r="G9" s="167"/>
      <c r="H9" s="167"/>
      <c r="I9" s="167"/>
      <c r="J9" s="167"/>
      <c r="K9" s="167"/>
      <c r="L9" s="167"/>
      <c r="M9" s="167"/>
      <c r="N9" s="167"/>
      <c r="O9" s="167"/>
      <c r="P9" s="167"/>
      <c r="Q9" s="167"/>
      <c r="R9" s="167"/>
      <c r="S9" s="167"/>
      <c r="T9" s="167"/>
      <c r="U9" s="167"/>
      <c r="V9" s="167"/>
      <c r="W9" s="167"/>
      <c r="X9" s="286"/>
    </row>
    <row r="10" spans="1:24" x14ac:dyDescent="0.25">
      <c r="A10" s="291"/>
      <c r="B10" s="289">
        <v>7</v>
      </c>
      <c r="C10" s="167"/>
      <c r="D10" s="167"/>
      <c r="E10" s="167"/>
      <c r="F10" s="167"/>
      <c r="G10" s="167"/>
      <c r="H10" s="167"/>
      <c r="I10" s="167"/>
      <c r="J10" s="167"/>
      <c r="K10" s="167"/>
      <c r="L10" s="167"/>
      <c r="M10" s="167"/>
      <c r="N10" s="167"/>
      <c r="O10" s="167"/>
      <c r="P10" s="167"/>
      <c r="Q10" s="167"/>
      <c r="R10" s="167"/>
      <c r="S10" s="167"/>
      <c r="T10" s="167"/>
      <c r="U10" s="167"/>
      <c r="V10" s="167"/>
      <c r="W10" s="167"/>
      <c r="X10" s="286"/>
    </row>
    <row r="11" spans="1:24" x14ac:dyDescent="0.25">
      <c r="A11" s="291"/>
      <c r="B11" s="289">
        <v>6</v>
      </c>
      <c r="C11" s="167"/>
      <c r="D11" s="167"/>
      <c r="E11" s="167"/>
      <c r="F11" s="167"/>
      <c r="G11" s="167"/>
      <c r="H11" s="167"/>
      <c r="I11" s="167"/>
      <c r="J11" s="167"/>
      <c r="K11" s="167"/>
      <c r="L11" s="167"/>
      <c r="M11" s="167"/>
      <c r="N11" s="167"/>
      <c r="O11" s="167"/>
      <c r="P11" s="167"/>
      <c r="Q11" s="167"/>
      <c r="R11" s="167"/>
      <c r="S11" s="167"/>
      <c r="T11" s="167"/>
      <c r="U11" s="167"/>
      <c r="V11" s="167"/>
      <c r="W11" s="167"/>
      <c r="X11" s="286"/>
    </row>
    <row r="12" spans="1:24" x14ac:dyDescent="0.25">
      <c r="A12" s="291"/>
      <c r="B12" s="289">
        <v>5</v>
      </c>
      <c r="C12" s="167"/>
      <c r="D12" s="167"/>
      <c r="E12" s="167"/>
      <c r="F12" s="167"/>
      <c r="G12" s="167"/>
      <c r="H12" s="167"/>
      <c r="I12" s="167"/>
      <c r="J12" s="167"/>
      <c r="K12" s="167"/>
      <c r="L12" s="167"/>
      <c r="M12" s="167"/>
      <c r="N12" s="167"/>
      <c r="O12" s="167"/>
      <c r="P12" s="167"/>
      <c r="Q12" s="167"/>
      <c r="R12" s="167"/>
      <c r="S12" s="167"/>
      <c r="T12" s="167"/>
      <c r="U12" s="167"/>
      <c r="V12" s="167"/>
      <c r="W12" s="167"/>
      <c r="X12" s="286"/>
    </row>
    <row r="13" spans="1:24" x14ac:dyDescent="0.25">
      <c r="A13" s="291"/>
      <c r="B13" s="289">
        <v>4</v>
      </c>
      <c r="C13" s="167"/>
      <c r="D13" s="167"/>
      <c r="E13" s="167"/>
      <c r="F13" s="167"/>
      <c r="G13" s="167"/>
      <c r="H13" s="167"/>
      <c r="I13" s="167"/>
      <c r="J13" s="167"/>
      <c r="K13" s="167"/>
      <c r="L13" s="167"/>
      <c r="M13" s="167"/>
      <c r="N13" s="167"/>
      <c r="O13" s="167"/>
      <c r="P13" s="167"/>
      <c r="Q13" s="167"/>
      <c r="R13" s="167"/>
      <c r="S13" s="167"/>
      <c r="T13" s="167"/>
      <c r="U13" s="167"/>
      <c r="V13" s="167"/>
      <c r="W13" s="167"/>
      <c r="X13" s="286"/>
    </row>
    <row r="14" spans="1:24" x14ac:dyDescent="0.25">
      <c r="A14" s="291"/>
      <c r="B14" s="289">
        <v>3</v>
      </c>
      <c r="C14" s="167" t="s">
        <v>911</v>
      </c>
      <c r="D14" s="167" t="s">
        <v>911</v>
      </c>
      <c r="E14" s="167" t="s">
        <v>911</v>
      </c>
      <c r="F14" s="167" t="s">
        <v>911</v>
      </c>
      <c r="G14" s="167" t="s">
        <v>911</v>
      </c>
      <c r="H14" s="167" t="s">
        <v>911</v>
      </c>
      <c r="I14" s="167" t="s">
        <v>911</v>
      </c>
      <c r="J14" s="167" t="s">
        <v>911</v>
      </c>
      <c r="K14" s="167" t="s">
        <v>911</v>
      </c>
      <c r="L14" s="167" t="s">
        <v>911</v>
      </c>
      <c r="M14" s="167" t="s">
        <v>911</v>
      </c>
      <c r="N14" s="167" t="s">
        <v>911</v>
      </c>
      <c r="O14" s="167" t="s">
        <v>882</v>
      </c>
      <c r="P14" s="167" t="s">
        <v>882</v>
      </c>
      <c r="Q14" s="167" t="s">
        <v>882</v>
      </c>
      <c r="R14" s="167" t="s">
        <v>882</v>
      </c>
      <c r="S14" s="167" t="s">
        <v>882</v>
      </c>
      <c r="T14" s="167" t="s">
        <v>882</v>
      </c>
      <c r="U14" s="167" t="s">
        <v>882</v>
      </c>
      <c r="V14" s="167" t="s">
        <v>882</v>
      </c>
      <c r="W14" s="167" t="s">
        <v>882</v>
      </c>
      <c r="X14" s="286" t="s">
        <v>882</v>
      </c>
    </row>
    <row r="15" spans="1:24" x14ac:dyDescent="0.25">
      <c r="A15" s="291"/>
      <c r="B15" s="289">
        <v>2</v>
      </c>
      <c r="C15" s="167" t="s">
        <v>911</v>
      </c>
      <c r="D15" s="167" t="s">
        <v>911</v>
      </c>
      <c r="E15" s="167" t="s">
        <v>882</v>
      </c>
      <c r="F15" s="167" t="s">
        <v>882</v>
      </c>
      <c r="G15" s="167" t="s">
        <v>882</v>
      </c>
      <c r="H15" s="167" t="s">
        <v>882</v>
      </c>
      <c r="I15" s="167" t="s">
        <v>882</v>
      </c>
      <c r="J15" s="167" t="s">
        <v>882</v>
      </c>
      <c r="K15" s="167" t="s">
        <v>882</v>
      </c>
      <c r="L15" s="167" t="s">
        <v>882</v>
      </c>
      <c r="M15" s="167" t="s">
        <v>882</v>
      </c>
      <c r="N15" s="167" t="s">
        <v>882</v>
      </c>
      <c r="O15" s="167" t="s">
        <v>882</v>
      </c>
      <c r="P15" s="167" t="s">
        <v>882</v>
      </c>
      <c r="Q15" s="167" t="s">
        <v>882</v>
      </c>
      <c r="R15" s="167" t="s">
        <v>882</v>
      </c>
      <c r="S15" s="167" t="s">
        <v>882</v>
      </c>
      <c r="T15" s="167" t="s">
        <v>882</v>
      </c>
      <c r="U15" s="167" t="s">
        <v>882</v>
      </c>
      <c r="V15" s="167" t="s">
        <v>882</v>
      </c>
      <c r="W15" s="167" t="s">
        <v>882</v>
      </c>
      <c r="X15" s="286" t="s">
        <v>882</v>
      </c>
    </row>
    <row r="16" spans="1:24" ht="15.75" thickBot="1" x14ac:dyDescent="0.3">
      <c r="A16" s="291"/>
      <c r="B16" s="289">
        <v>1</v>
      </c>
      <c r="C16" s="167" t="s">
        <v>911</v>
      </c>
      <c r="D16" s="167" t="s">
        <v>911</v>
      </c>
      <c r="E16" s="167" t="s">
        <v>911</v>
      </c>
      <c r="F16" s="167" t="s">
        <v>911</v>
      </c>
      <c r="G16" s="167" t="s">
        <v>911</v>
      </c>
      <c r="H16" s="167" t="s">
        <v>882</v>
      </c>
      <c r="I16" s="167" t="s">
        <v>882</v>
      </c>
      <c r="J16" s="167" t="s">
        <v>882</v>
      </c>
      <c r="K16" s="167" t="s">
        <v>882</v>
      </c>
      <c r="L16" s="167" t="s">
        <v>882</v>
      </c>
      <c r="M16" s="167" t="s">
        <v>882</v>
      </c>
      <c r="N16" s="167" t="s">
        <v>882</v>
      </c>
      <c r="O16" s="167" t="s">
        <v>882</v>
      </c>
      <c r="P16" s="167" t="s">
        <v>882</v>
      </c>
      <c r="Q16" s="167" t="s">
        <v>882</v>
      </c>
      <c r="R16" s="167" t="s">
        <v>882</v>
      </c>
      <c r="S16" s="167" t="s">
        <v>882</v>
      </c>
      <c r="T16" s="167" t="s">
        <v>882</v>
      </c>
      <c r="U16" s="167" t="s">
        <v>882</v>
      </c>
      <c r="V16" s="167" t="s">
        <v>882</v>
      </c>
      <c r="W16" s="167" t="s">
        <v>882</v>
      </c>
      <c r="X16" s="286" t="s">
        <v>882</v>
      </c>
    </row>
    <row r="17" spans="1:24" ht="15.75" thickTop="1" x14ac:dyDescent="0.25">
      <c r="A17" s="109"/>
      <c r="B17" s="290" t="s">
        <v>1012</v>
      </c>
      <c r="C17" s="290"/>
      <c r="D17" s="290"/>
      <c r="E17" s="290"/>
      <c r="F17" s="290"/>
      <c r="G17" s="290"/>
      <c r="H17" s="290"/>
      <c r="I17" s="290"/>
      <c r="J17" s="290"/>
      <c r="K17" s="290"/>
      <c r="L17" s="290"/>
      <c r="M17" s="290"/>
      <c r="N17" s="290"/>
      <c r="O17" s="290"/>
      <c r="P17" s="290"/>
      <c r="Q17" s="290"/>
      <c r="R17" s="290"/>
      <c r="S17" s="290"/>
      <c r="T17" s="290"/>
      <c r="U17" s="290"/>
      <c r="V17" s="290"/>
      <c r="W17" s="290"/>
      <c r="X17" s="290"/>
    </row>
  </sheetData>
  <mergeCells count="2">
    <mergeCell ref="A1:A16"/>
    <mergeCell ref="B17:X17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590EF-3E2F-4FD0-94D8-6DB1C9364467}">
  <sheetPr codeName="Sheet19"/>
  <dimension ref="A1:W26"/>
  <sheetViews>
    <sheetView workbookViewId="0"/>
  </sheetViews>
  <sheetFormatPr defaultRowHeight="15" x14ac:dyDescent="0.25"/>
  <cols>
    <col min="1" max="1" width="7.7109375" style="24" customWidth="1"/>
    <col min="2" max="9" width="4.42578125" style="24" bestFit="1" customWidth="1"/>
    <col min="10" max="10" width="4.140625" style="24" customWidth="1"/>
    <col min="11" max="22" width="5.140625" style="24" customWidth="1"/>
    <col min="23" max="23" width="9.5703125" style="24" bestFit="1" customWidth="1"/>
  </cols>
  <sheetData>
    <row r="1" spans="1:23" ht="16.5" thickTop="1" thickBot="1" x14ac:dyDescent="0.3">
      <c r="A1" s="94" t="s">
        <v>972</v>
      </c>
      <c r="B1" s="98" t="s">
        <v>276</v>
      </c>
      <c r="C1" s="99" t="s">
        <v>973</v>
      </c>
      <c r="D1" s="99" t="s">
        <v>362</v>
      </c>
      <c r="E1" s="99" t="s">
        <v>310</v>
      </c>
      <c r="F1" s="99" t="s">
        <v>974</v>
      </c>
      <c r="G1" s="99" t="s">
        <v>355</v>
      </c>
      <c r="H1" s="99" t="s">
        <v>363</v>
      </c>
      <c r="I1" s="99" t="s">
        <v>371</v>
      </c>
      <c r="J1" s="99" t="s">
        <v>229</v>
      </c>
      <c r="K1" s="99" t="s">
        <v>289</v>
      </c>
      <c r="L1" s="99" t="s">
        <v>230</v>
      </c>
      <c r="M1" s="99" t="s">
        <v>290</v>
      </c>
      <c r="N1" s="99" t="s">
        <v>376</v>
      </c>
      <c r="O1" s="99" t="s">
        <v>296</v>
      </c>
      <c r="P1" s="99" t="s">
        <v>975</v>
      </c>
      <c r="Q1" s="99" t="s">
        <v>976</v>
      </c>
      <c r="R1" s="99" t="s">
        <v>329</v>
      </c>
      <c r="S1" s="99" t="s">
        <v>977</v>
      </c>
      <c r="T1" s="99" t="s">
        <v>978</v>
      </c>
      <c r="U1" s="99" t="s">
        <v>979</v>
      </c>
      <c r="V1" s="99" t="s">
        <v>980</v>
      </c>
      <c r="W1" s="93" t="s">
        <v>981</v>
      </c>
    </row>
    <row r="2" spans="1:23" ht="15.75" thickTop="1" x14ac:dyDescent="0.25">
      <c r="A2" s="100">
        <v>1</v>
      </c>
      <c r="B2" s="108" t="s">
        <v>1009</v>
      </c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2">
        <v>1</v>
      </c>
    </row>
    <row r="3" spans="1:23" x14ac:dyDescent="0.25">
      <c r="A3" s="103">
        <v>2</v>
      </c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4">
        <v>2</v>
      </c>
    </row>
    <row r="4" spans="1:23" x14ac:dyDescent="0.25">
      <c r="A4" s="103">
        <v>3</v>
      </c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  <c r="S4" s="101"/>
      <c r="T4" s="101"/>
      <c r="U4" s="101"/>
      <c r="V4" s="101"/>
      <c r="W4" s="104">
        <v>3</v>
      </c>
    </row>
    <row r="5" spans="1:23" x14ac:dyDescent="0.25">
      <c r="A5" s="103">
        <v>4</v>
      </c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  <c r="S5" s="101"/>
      <c r="T5" s="101"/>
      <c r="U5" s="101"/>
      <c r="V5" s="101"/>
      <c r="W5" s="104">
        <v>4</v>
      </c>
    </row>
    <row r="6" spans="1:23" x14ac:dyDescent="0.25">
      <c r="A6" s="103">
        <v>5</v>
      </c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101"/>
      <c r="U6" s="101"/>
      <c r="V6" s="101"/>
      <c r="W6" s="104">
        <v>5</v>
      </c>
    </row>
    <row r="7" spans="1:23" x14ac:dyDescent="0.25">
      <c r="A7" s="103">
        <v>6</v>
      </c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  <c r="S7" s="101"/>
      <c r="T7" s="101"/>
      <c r="U7" s="101"/>
      <c r="V7" s="101"/>
      <c r="W7" s="104">
        <v>6</v>
      </c>
    </row>
    <row r="8" spans="1:23" x14ac:dyDescent="0.25">
      <c r="A8" s="103">
        <v>7</v>
      </c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4">
        <v>7</v>
      </c>
    </row>
    <row r="9" spans="1:23" x14ac:dyDescent="0.25">
      <c r="A9" s="103">
        <v>8</v>
      </c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  <c r="S9" s="101"/>
      <c r="T9" s="101"/>
      <c r="U9" s="101"/>
      <c r="V9" s="101"/>
      <c r="W9" s="104">
        <v>8</v>
      </c>
    </row>
    <row r="10" spans="1:23" x14ac:dyDescent="0.25">
      <c r="A10" s="103">
        <v>9</v>
      </c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  <c r="S10" s="101"/>
      <c r="T10" s="101"/>
      <c r="U10" s="101"/>
      <c r="V10" s="101"/>
      <c r="W10" s="104">
        <v>9</v>
      </c>
    </row>
    <row r="11" spans="1:23" x14ac:dyDescent="0.25">
      <c r="A11" s="103">
        <v>10</v>
      </c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  <c r="S11" s="101"/>
      <c r="T11" s="101"/>
      <c r="U11" s="101"/>
      <c r="V11" s="101"/>
      <c r="W11" s="104">
        <v>10</v>
      </c>
    </row>
    <row r="12" spans="1:23" x14ac:dyDescent="0.25">
      <c r="A12" s="103">
        <v>11</v>
      </c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  <c r="S12" s="101"/>
      <c r="T12" s="101"/>
      <c r="U12" s="101"/>
      <c r="V12" s="101"/>
      <c r="W12" s="104">
        <v>11</v>
      </c>
    </row>
    <row r="13" spans="1:23" x14ac:dyDescent="0.25">
      <c r="A13" s="103">
        <v>12</v>
      </c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  <c r="S13" s="101"/>
      <c r="T13" s="101"/>
      <c r="U13" s="101"/>
      <c r="V13" s="101"/>
      <c r="W13" s="104">
        <v>12</v>
      </c>
    </row>
    <row r="14" spans="1:23" x14ac:dyDescent="0.25">
      <c r="A14" s="103">
        <v>13</v>
      </c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  <c r="S14" s="101"/>
      <c r="T14" s="101"/>
      <c r="U14" s="101"/>
      <c r="V14" s="101"/>
      <c r="W14" s="104">
        <v>13</v>
      </c>
    </row>
    <row r="15" spans="1:23" x14ac:dyDescent="0.25">
      <c r="A15" s="103">
        <v>14</v>
      </c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  <c r="S15" s="101"/>
      <c r="T15" s="101"/>
      <c r="U15" s="101"/>
      <c r="V15" s="101"/>
      <c r="W15" s="104">
        <v>14</v>
      </c>
    </row>
    <row r="16" spans="1:23" x14ac:dyDescent="0.25">
      <c r="A16" s="103">
        <v>15</v>
      </c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  <c r="S16" s="101"/>
      <c r="T16" s="101"/>
      <c r="U16" s="101"/>
      <c r="V16" s="101"/>
      <c r="W16" s="104">
        <v>15</v>
      </c>
    </row>
    <row r="17" spans="1:23" x14ac:dyDescent="0.25">
      <c r="A17" s="103">
        <v>16</v>
      </c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  <c r="S17" s="101"/>
      <c r="T17" s="101"/>
      <c r="U17" s="101"/>
      <c r="V17" s="101"/>
      <c r="W17" s="104">
        <v>16</v>
      </c>
    </row>
    <row r="18" spans="1:23" x14ac:dyDescent="0.25">
      <c r="A18" s="103">
        <v>17</v>
      </c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  <c r="S18" s="101"/>
      <c r="T18" s="101"/>
      <c r="U18" s="101"/>
      <c r="V18" s="101"/>
      <c r="W18" s="104">
        <v>17</v>
      </c>
    </row>
    <row r="19" spans="1:23" x14ac:dyDescent="0.25">
      <c r="A19" s="103">
        <v>18</v>
      </c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  <c r="S19" s="101"/>
      <c r="T19" s="101"/>
      <c r="U19" s="101"/>
      <c r="V19" s="101"/>
      <c r="W19" s="104">
        <v>18</v>
      </c>
    </row>
    <row r="20" spans="1:23" x14ac:dyDescent="0.25">
      <c r="A20" s="103">
        <v>19</v>
      </c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  <c r="S20" s="101"/>
      <c r="T20" s="101"/>
      <c r="U20" s="101"/>
      <c r="V20" s="101"/>
      <c r="W20" s="104">
        <v>19</v>
      </c>
    </row>
    <row r="21" spans="1:23" x14ac:dyDescent="0.25">
      <c r="A21" s="103">
        <v>20</v>
      </c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  <c r="S21" s="101"/>
      <c r="T21" s="101"/>
      <c r="U21" s="101"/>
      <c r="V21" s="101"/>
      <c r="W21" s="104">
        <v>20</v>
      </c>
    </row>
    <row r="22" spans="1:23" x14ac:dyDescent="0.25">
      <c r="A22" s="103">
        <v>21</v>
      </c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  <c r="S22" s="101"/>
      <c r="T22" s="101"/>
      <c r="U22" s="101"/>
      <c r="V22" s="101"/>
      <c r="W22" s="104">
        <v>21</v>
      </c>
    </row>
    <row r="23" spans="1:23" ht="15.75" thickBot="1" x14ac:dyDescent="0.3">
      <c r="A23" s="103">
        <v>22</v>
      </c>
      <c r="B23" s="101"/>
      <c r="C23" s="101"/>
      <c r="D23" s="101"/>
      <c r="E23" s="101"/>
      <c r="F23" s="101"/>
      <c r="G23" s="101"/>
      <c r="H23" s="101"/>
      <c r="I23" s="101"/>
      <c r="J23" s="101"/>
      <c r="K23" s="97"/>
      <c r="L23" s="97"/>
      <c r="M23" s="101"/>
      <c r="N23" s="101"/>
      <c r="O23" s="101"/>
      <c r="P23" s="101"/>
      <c r="Q23" s="101"/>
      <c r="R23" s="101"/>
      <c r="S23" s="101"/>
      <c r="T23" s="101"/>
      <c r="U23" s="101"/>
      <c r="V23" s="101"/>
      <c r="W23" s="104">
        <v>22</v>
      </c>
    </row>
    <row r="24" spans="1:23" ht="16.5" thickTop="1" thickBot="1" x14ac:dyDescent="0.3">
      <c r="A24" s="92" t="s">
        <v>972</v>
      </c>
      <c r="B24" s="105">
        <v>1</v>
      </c>
      <c r="C24" s="106">
        <v>2</v>
      </c>
      <c r="D24" s="106">
        <v>3</v>
      </c>
      <c r="E24" s="106">
        <v>4</v>
      </c>
      <c r="F24" s="106">
        <v>5</v>
      </c>
      <c r="G24" s="106">
        <v>6</v>
      </c>
      <c r="H24" s="106">
        <v>7</v>
      </c>
      <c r="I24" s="106">
        <v>8</v>
      </c>
      <c r="J24" s="106">
        <v>9</v>
      </c>
      <c r="K24" s="106">
        <v>10</v>
      </c>
      <c r="L24" s="106">
        <v>11</v>
      </c>
      <c r="M24" s="106">
        <v>12</v>
      </c>
      <c r="N24" s="106">
        <v>13</v>
      </c>
      <c r="O24" s="106">
        <v>14</v>
      </c>
      <c r="P24" s="106">
        <v>15</v>
      </c>
      <c r="Q24" s="106">
        <v>16</v>
      </c>
      <c r="R24" s="106">
        <v>17</v>
      </c>
      <c r="S24" s="106">
        <v>18</v>
      </c>
      <c r="T24" s="106">
        <v>19</v>
      </c>
      <c r="U24" s="106">
        <v>20</v>
      </c>
      <c r="V24" s="106">
        <v>21</v>
      </c>
      <c r="W24" s="91" t="s">
        <v>972</v>
      </c>
    </row>
    <row r="25" spans="1:23" ht="15.75" thickTop="1" x14ac:dyDescent="0.25">
      <c r="I25" s="73"/>
      <c r="L25" s="73"/>
      <c r="O25" s="73"/>
    </row>
    <row r="26" spans="1:23" x14ac:dyDescent="0.25">
      <c r="I26" s="110" t="s">
        <v>994</v>
      </c>
      <c r="J26" s="111"/>
      <c r="K26" s="111"/>
      <c r="L26" s="111"/>
      <c r="M26" s="111"/>
      <c r="N26" s="111"/>
      <c r="O26" s="111"/>
    </row>
  </sheetData>
  <mergeCells count="1">
    <mergeCell ref="I26:O26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8CD94-08BA-45DF-9753-609C5145684F}">
  <sheetPr codeName="Sheet20"/>
  <dimension ref="A1"/>
  <sheetViews>
    <sheetView workbookViewId="0"/>
  </sheetViews>
  <sheetFormatPr defaultRowHeight="15" x14ac:dyDescent="0.25"/>
  <sheetData>
    <row r="1" spans="1:1" x14ac:dyDescent="0.25">
      <c r="A1" t="s">
        <v>1004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201D3-77D4-44DD-AC1F-F3BBE9998F28}">
  <sheetPr codeName="Sheet21"/>
  <dimension ref="A1:F18"/>
  <sheetViews>
    <sheetView workbookViewId="0"/>
  </sheetViews>
  <sheetFormatPr defaultRowHeight="15" x14ac:dyDescent="0.25"/>
  <cols>
    <col min="1" max="1" width="10.140625" bestFit="1" customWidth="1"/>
    <col min="2" max="2" width="25.5703125" bestFit="1" customWidth="1"/>
    <col min="3" max="3" width="60.28515625" bestFit="1" customWidth="1"/>
    <col min="4" max="4" width="82.5703125" bestFit="1" customWidth="1"/>
    <col min="5" max="5" width="14.5703125" bestFit="1" customWidth="1"/>
  </cols>
  <sheetData>
    <row r="1" spans="1:6" x14ac:dyDescent="0.25">
      <c r="A1" t="s">
        <v>149</v>
      </c>
      <c r="B1" t="s">
        <v>163</v>
      </c>
      <c r="C1" t="s">
        <v>1005</v>
      </c>
      <c r="D1" t="s">
        <v>1006</v>
      </c>
      <c r="E1" t="s">
        <v>1007</v>
      </c>
      <c r="F1" t="e" cm="1">
        <f t="array" ref="F1">Con</f>
        <v>#NAME?</v>
      </c>
    </row>
    <row r="2" spans="1:6" x14ac:dyDescent="0.25">
      <c r="A2" t="s">
        <v>114</v>
      </c>
      <c r="B2" t="s">
        <v>206</v>
      </c>
      <c r="C2" t="str">
        <f>_xlfn.CONCAT("""", B2,",",A2,"""")</f>
        <v>"POHEK:09B3:007E:0E44:01EE,Adford-Timo Base"</v>
      </c>
      <c r="D2" t="str">
        <f t="shared" ref="D2:D18" si="0">_xlfn.CONCAT("!galaxymap /title=","""","Euclid - ", A2,""""," ", """", B2, """")</f>
        <v>!galaxymap /title="Euclid - Adford-Timo Base" "POHEK:09B3:007E:0E44:01EE"</v>
      </c>
    </row>
    <row r="3" spans="1:6" x14ac:dyDescent="0.25">
      <c r="A3" t="s">
        <v>212</v>
      </c>
      <c r="B3" t="s">
        <v>216</v>
      </c>
      <c r="C3" t="str">
        <f t="shared" ref="C3:C18" si="1">_xlfn.CONCAT("""", B3,",",A3,"""")</f>
        <v>"NASEI:0EF5:007B:0791:00C7,Alaytone Outpost"</v>
      </c>
      <c r="D3" t="str">
        <f t="shared" si="0"/>
        <v>!galaxymap /title="Euclid - Alaytone Outpost" "NASEI:0EF5:007B:0791:00C7"</v>
      </c>
    </row>
    <row r="4" spans="1:6" x14ac:dyDescent="0.25">
      <c r="A4" t="s">
        <v>148</v>
      </c>
      <c r="B4" t="s">
        <v>219</v>
      </c>
      <c r="C4" t="str">
        <f t="shared" si="1"/>
        <v>"UDTI:09A4:007E:0E44:0082,Bizarro-Xeno Worm Outpost"</v>
      </c>
      <c r="D4" t="str">
        <f t="shared" si="0"/>
        <v>!galaxymap /title="Euclid - Bizarro-Xeno Worm Outpost" "UDTI:09A4:007E:0E44:0082"</v>
      </c>
    </row>
    <row r="5" spans="1:6" x14ac:dyDescent="0.25">
      <c r="A5" t="s">
        <v>70</v>
      </c>
      <c r="B5" t="s">
        <v>231</v>
      </c>
      <c r="C5" t="str">
        <f t="shared" si="1"/>
        <v>"DOON:09B7:007E:0E45:0100,Cayntah-Ohan Outpost"</v>
      </c>
      <c r="D5" t="str">
        <f t="shared" si="0"/>
        <v>!galaxymap /title="Euclid - Cayntah-Ohan Outpost" "DOON:09B7:007E:0E45:0100"</v>
      </c>
    </row>
    <row r="6" spans="1:6" x14ac:dyDescent="0.25">
      <c r="A6" t="s">
        <v>121</v>
      </c>
      <c r="B6" t="s">
        <v>238</v>
      </c>
      <c r="C6" t="str">
        <f t="shared" si="1"/>
        <v>"042F:0078:0D56:001B,Chateau Frontenac (in progress)"</v>
      </c>
      <c r="D6" t="str">
        <f t="shared" si="0"/>
        <v>!galaxymap /title="Euclid - Chateau Frontenac (in progress)" "042F:0078:0D56:001B"</v>
      </c>
    </row>
    <row r="7" spans="1:6" x14ac:dyDescent="0.25">
      <c r="A7" t="s">
        <v>29</v>
      </c>
      <c r="B7" t="s">
        <v>243</v>
      </c>
      <c r="C7" t="str">
        <f t="shared" si="1"/>
        <v>"NUWA:0EF6:007B:0793:0191,Ciusi Base"</v>
      </c>
      <c r="D7" t="str">
        <f t="shared" si="0"/>
        <v>!galaxymap /title="Euclid - Ciusi Base" "NUWA:0EF6:007B:0793:0191"</v>
      </c>
    </row>
    <row r="8" spans="1:6" x14ac:dyDescent="0.25">
      <c r="A8" t="s">
        <v>53</v>
      </c>
      <c r="B8" t="s">
        <v>249</v>
      </c>
      <c r="C8" t="str">
        <f t="shared" si="1"/>
        <v>"LALRO:09B7:007E:0E44:00AA,Di-Hydrogen &amp; Plant Lamps"</v>
      </c>
      <c r="D8" t="str">
        <f t="shared" si="0"/>
        <v>!galaxymap /title="Euclid - Di-Hydrogen &amp; Plant Lamps" "LALRO:09B7:007E:0E44:00AA"</v>
      </c>
    </row>
    <row r="9" spans="1:6" x14ac:dyDescent="0.25">
      <c r="A9" t="s">
        <v>127</v>
      </c>
      <c r="B9" t="s">
        <v>255</v>
      </c>
      <c r="C9" t="str">
        <f t="shared" si="1"/>
        <v>"ZEWIC:09A3:007E:0E44:0089,Ehami-Abie Colony (Para-Diss)"</v>
      </c>
      <c r="D9" t="str">
        <f t="shared" si="0"/>
        <v>!galaxymap /title="Euclid - Ehami-Abie Colony (Para-Diss)" "ZEWIC:09A3:007E:0E44:0089"</v>
      </c>
    </row>
    <row r="10" spans="1:6" x14ac:dyDescent="0.25">
      <c r="A10" t="s">
        <v>143</v>
      </c>
      <c r="B10" t="s">
        <v>259</v>
      </c>
      <c r="C10" t="str">
        <f t="shared" si="1"/>
        <v>"GIYTO:0C39:0082:032E:0085,Esire Outpost"</v>
      </c>
      <c r="D10" t="str">
        <f t="shared" si="0"/>
        <v>!galaxymap /title="Euclid - Esire Outpost" "GIYTO:0C39:0082:032E:0085"</v>
      </c>
    </row>
    <row r="11" spans="1:6" x14ac:dyDescent="0.25">
      <c r="A11" t="s">
        <v>261</v>
      </c>
      <c r="B11">
        <v>0</v>
      </c>
      <c r="C11" t="str">
        <f t="shared" si="1"/>
        <v>"0,Geton Base"</v>
      </c>
      <c r="D11" t="str">
        <f t="shared" si="0"/>
        <v>!galaxymap /title="Euclid - Geton Base" "0"</v>
      </c>
    </row>
    <row r="12" spans="1:6" x14ac:dyDescent="0.25">
      <c r="A12" t="s">
        <v>95</v>
      </c>
      <c r="B12" t="s">
        <v>278</v>
      </c>
      <c r="C12" t="str">
        <f t="shared" si="1"/>
        <v>"KULAM:0EF6:007B:0793:0015,Goombah HQ"</v>
      </c>
      <c r="D12" t="str">
        <f t="shared" si="0"/>
        <v>!galaxymap /title="Euclid - Goombah HQ" "KULAM:0EF6:007B:0793:0015"</v>
      </c>
    </row>
    <row r="13" spans="1:6" x14ac:dyDescent="0.25">
      <c r="A13" t="s">
        <v>279</v>
      </c>
      <c r="B13">
        <v>0</v>
      </c>
      <c r="C13" t="str">
        <f t="shared" si="1"/>
        <v>"0,Ipton-Lean Base"</v>
      </c>
      <c r="D13" t="str">
        <f t="shared" si="0"/>
        <v>!galaxymap /title="Euclid - Ipton-Lean Base" "0"</v>
      </c>
    </row>
    <row r="14" spans="1:6" x14ac:dyDescent="0.25">
      <c r="A14" t="s">
        <v>48</v>
      </c>
      <c r="B14" t="s">
        <v>291</v>
      </c>
      <c r="C14" t="str">
        <f t="shared" si="1"/>
        <v>"MOAN:0E02:007C:0B6C:007A,Metallicazania (w/ portal)"</v>
      </c>
      <c r="D14" t="str">
        <f t="shared" si="0"/>
        <v>!galaxymap /title="Euclid - Metallicazania (w/ portal)" "MOAN:0E02:007C:0B6C:007A"</v>
      </c>
    </row>
    <row r="15" spans="1:6" x14ac:dyDescent="0.25">
      <c r="A15" t="s">
        <v>140</v>
      </c>
      <c r="B15" t="s">
        <v>297</v>
      </c>
      <c r="C15" t="str">
        <f t="shared" si="1"/>
        <v>"IKKO:042F:0078:0D56:007A,Morin Heights"</v>
      </c>
      <c r="D15" t="str">
        <f t="shared" si="0"/>
        <v>!galaxymap /title="Euclid - Morin Heights" "IKKO:042F:0078:0D56:007A"</v>
      </c>
    </row>
    <row r="16" spans="1:6" x14ac:dyDescent="0.25">
      <c r="A16" t="s">
        <v>107</v>
      </c>
      <c r="B16" t="s">
        <v>303</v>
      </c>
      <c r="C16" t="str">
        <f t="shared" si="1"/>
        <v>"INYI:0E02:007C:0B6C:002B,Nessyer Outpost"</v>
      </c>
      <c r="D16" t="str">
        <f t="shared" si="0"/>
        <v>!galaxymap /title="Euclid - Nessyer Outpost" "INYI:0E02:007C:0B6C:002B"</v>
      </c>
    </row>
    <row r="17" spans="1:4" x14ac:dyDescent="0.25">
      <c r="A17" t="s">
        <v>100</v>
      </c>
      <c r="B17" t="s">
        <v>311</v>
      </c>
      <c r="C17" t="str">
        <f t="shared" si="1"/>
        <v>"AMPB:0E02:007C:0B6D:00DA,Nodla-Albe Outpost"</v>
      </c>
      <c r="D17" t="str">
        <f t="shared" si="0"/>
        <v>!galaxymap /title="Euclid - Nodla-Albe Outpost" "AMPB:0E02:007C:0B6D:00DA"</v>
      </c>
    </row>
    <row r="18" spans="1:4" x14ac:dyDescent="0.25">
      <c r="A18" t="s">
        <v>65</v>
      </c>
      <c r="B18" t="s">
        <v>317</v>
      </c>
      <c r="C18" t="str">
        <f t="shared" si="1"/>
        <v>"MACAR:0C9B:0080:03A8:00A6,Ocken-Nejot Base"</v>
      </c>
      <c r="D18" t="str">
        <f t="shared" si="0"/>
        <v>!galaxymap /title="Euclid - Ocken-Nejot Base" "MACAR:0C9B:0080:03A8:00A6"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</vt:i4>
      </vt:variant>
    </vt:vector>
  </HeadingPairs>
  <TitlesOfParts>
    <vt:vector size="21" baseType="lpstr">
      <vt:lpstr>Visited Systems</vt:lpstr>
      <vt:lpstr>Planets</vt:lpstr>
      <vt:lpstr>Starships</vt:lpstr>
      <vt:lpstr>Fleet</vt:lpstr>
      <vt:lpstr>Multi-Tools</vt:lpstr>
      <vt:lpstr>Exocraft</vt:lpstr>
      <vt:lpstr>Inventory</vt:lpstr>
      <vt:lpstr>Refiner &amp; Build Recipes</vt:lpstr>
      <vt:lpstr>Agricultural Production</vt:lpstr>
      <vt:lpstr>Crop Production</vt:lpstr>
      <vt:lpstr>Freighter Components</vt:lpstr>
      <vt:lpstr>Freighter Build Calculations</vt:lpstr>
      <vt:lpstr>Freighter Floor 1</vt:lpstr>
      <vt:lpstr>Freighter Floor 2</vt:lpstr>
      <vt:lpstr>Freighter Floor 3</vt:lpstr>
      <vt:lpstr>Freighter Floor 4</vt:lpstr>
      <vt:lpstr>Freighter Vertical - Starboard</vt:lpstr>
      <vt:lpstr>Freighter Layout Template</vt:lpstr>
      <vt:lpstr>Upgrade Modules</vt:lpstr>
      <vt:lpstr>Galaxy Map Plotter</vt:lpstr>
      <vt:lpstr>InventoryTable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Legault</dc:creator>
  <cp:lastModifiedBy>Eric Legault</cp:lastModifiedBy>
  <dcterms:created xsi:type="dcterms:W3CDTF">2024-05-01T18:29:00Z</dcterms:created>
  <dcterms:modified xsi:type="dcterms:W3CDTF">2024-05-03T18:00:09Z</dcterms:modified>
</cp:coreProperties>
</file>